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hollis/Downloads/☀︎PhD HIRODAI/☀︎RESEARCH PROJECT PhD/PRAAT Research/Example of output using a Monologue (Not a Dialogue and Not a Multilogue)/"/>
    </mc:Choice>
  </mc:AlternateContent>
  <xr:revisionPtr revIDLastSave="0" documentId="13_ncr:1_{C7921E40-63D1-7946-AFD2-1A1C721449B4}" xr6:coauthVersionLast="47" xr6:coauthVersionMax="47" xr10:uidLastSave="{00000000-0000-0000-0000-000000000000}"/>
  <bookViews>
    <workbookView xWindow="0" yWindow="600" windowWidth="21800" windowHeight="13880" xr2:uid="{00000000-000D-0000-FFFF-FFFF00000000}"/>
  </bookViews>
  <sheets>
    <sheet name="Durations" sheetId="2" r:id="rId1"/>
    <sheet name="Fluency measu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B6" i="2"/>
  <c r="D4" i="2"/>
  <c r="D5" i="2" s="1"/>
  <c r="C4" i="2"/>
  <c r="C5" i="2" s="1"/>
  <c r="B4" i="2"/>
  <c r="B5" i="2" s="1"/>
  <c r="B22" i="1"/>
  <c r="D22" i="1"/>
  <c r="D10" i="1" s="1"/>
  <c r="D11" i="1" s="1"/>
  <c r="C22" i="1"/>
  <c r="C10" i="1" s="1"/>
  <c r="C11" i="1" s="1"/>
  <c r="B10" i="1"/>
  <c r="B11" i="1" s="1"/>
  <c r="B4" i="1" s="1"/>
  <c r="D21" i="1"/>
  <c r="C21" i="1"/>
  <c r="B21" i="1"/>
  <c r="D15" i="1"/>
  <c r="C15" i="1"/>
  <c r="B15" i="1"/>
  <c r="D13" i="1"/>
  <c r="D16" i="1" s="1"/>
  <c r="D5" i="1" s="1"/>
  <c r="C13" i="1"/>
  <c r="B13" i="1"/>
  <c r="C7" i="1" l="1"/>
  <c r="C6" i="1"/>
  <c r="C4" i="1"/>
  <c r="B14" i="1"/>
  <c r="C14" i="1"/>
  <c r="B6" i="1"/>
  <c r="B7" i="1"/>
  <c r="D4" i="1"/>
  <c r="D7" i="1"/>
  <c r="D6" i="1"/>
  <c r="B16" i="1"/>
  <c r="B5" i="1" s="1"/>
  <c r="C16" i="1"/>
  <c r="C5" i="1" s="1"/>
  <c r="D14" i="1"/>
</calcChain>
</file>

<file path=xl/sharedStrings.xml><?xml version="1.0" encoding="utf-8"?>
<sst xmlns="http://schemas.openxmlformats.org/spreadsheetml/2006/main" count="288" uniqueCount="35">
  <si>
    <t>IELTS level</t>
  </si>
  <si>
    <t>Name</t>
  </si>
  <si>
    <t xml:space="preserve">Articulation rate </t>
  </si>
  <si>
    <r>
      <t xml:space="preserve">FREQ </t>
    </r>
    <r>
      <rPr>
        <b/>
        <sz val="10"/>
        <color rgb="FF980000"/>
        <rFont val="Arial"/>
        <charset val="1"/>
      </rPr>
      <t>end-clause</t>
    </r>
    <r>
      <rPr>
        <sz val="10"/>
        <color rgb="FF000000"/>
        <rFont val="Arial"/>
        <charset val="1"/>
      </rPr>
      <t xml:space="preserve"> pauses per min</t>
    </r>
  </si>
  <si>
    <r>
      <rPr>
        <sz val="10"/>
        <color rgb="FF000000"/>
        <rFont val="Arial"/>
      </rPr>
      <t xml:space="preserve">FREQ </t>
    </r>
    <r>
      <rPr>
        <b/>
        <sz val="10"/>
        <color rgb="FF0000FF"/>
        <rFont val="Arial"/>
      </rPr>
      <t>mid-clause</t>
    </r>
    <r>
      <rPr>
        <sz val="10"/>
        <color rgb="FF000000"/>
        <rFont val="Arial"/>
      </rPr>
      <t xml:space="preserve"> pauses per min</t>
    </r>
  </si>
  <si>
    <t>TOTAL no. of repairs per min</t>
  </si>
  <si>
    <t>Total Duration of Audio (secs)</t>
  </si>
  <si>
    <t>Phonation time (secs)</t>
  </si>
  <si>
    <t>Speaking time (secs)</t>
  </si>
  <si>
    <t>Speaking time (mins)</t>
  </si>
  <si>
    <t>No. of syllables</t>
  </si>
  <si>
    <t>No. of silent pauses</t>
  </si>
  <si>
    <t>No. of silent pauses per sec</t>
  </si>
  <si>
    <t>Mean of silent pauses</t>
  </si>
  <si>
    <r>
      <t xml:space="preserve">No. of </t>
    </r>
    <r>
      <rPr>
        <b/>
        <sz val="10"/>
        <color rgb="FF980000"/>
        <rFont val="Arial"/>
        <charset val="1"/>
      </rPr>
      <t>end-clause</t>
    </r>
    <r>
      <rPr>
        <sz val="10"/>
        <color rgb="FF000000"/>
        <rFont val="Arial"/>
        <charset val="1"/>
      </rPr>
      <t xml:space="preserve"> pauses
(between ASU)</t>
    </r>
  </si>
  <si>
    <r>
      <rPr>
        <sz val="10"/>
        <color rgb="FF000000"/>
        <rFont val="Arial"/>
      </rPr>
      <t xml:space="preserve">No. of </t>
    </r>
    <r>
      <rPr>
        <b/>
        <sz val="10"/>
        <color rgb="FF0000FF"/>
        <rFont val="Arial"/>
      </rPr>
      <t>mid-clause</t>
    </r>
    <r>
      <rPr>
        <sz val="10"/>
        <color rgb="FF000000"/>
        <rFont val="Arial"/>
      </rPr>
      <t xml:space="preserve"> pauses
(within ASU)</t>
    </r>
  </si>
  <si>
    <t>No. of repetitions</t>
  </si>
  <si>
    <t>No. of hesitations, false starts and reformulations</t>
  </si>
  <si>
    <t>No. of self-corrections</t>
  </si>
  <si>
    <t>TOTAL no. of Repairs</t>
  </si>
  <si>
    <t>Total silent Pausing time</t>
  </si>
  <si>
    <t>silence</t>
  </si>
  <si>
    <t>Example</t>
  </si>
  <si>
    <t xml:space="preserve">IELTS level </t>
  </si>
  <si>
    <t>Total Duration
of Audio (secs)</t>
  </si>
  <si>
    <t>Invalid duration (secs)</t>
  </si>
  <si>
    <t>beginning</t>
  </si>
  <si>
    <t>sounding</t>
  </si>
  <si>
    <t>silent</t>
  </si>
  <si>
    <t>Xu</t>
  </si>
  <si>
    <t>Lee</t>
  </si>
  <si>
    <t>Sun</t>
  </si>
  <si>
    <t>SpeakerX</t>
  </si>
  <si>
    <t>SpeakerY</t>
  </si>
  <si>
    <t>SpeakerZ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</si>
</sst>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</font>
    <font>
      <sz val="10"/>
      <color rgb="FF000000"/>
      <name val="Arial"/>
    </font>
    <font>
      <sz val="10"/>
      <color rgb="FF000000"/>
      <name val="Arial"/>
      <charset val="1"/>
    </font>
    <font>
      <b/>
      <sz val="10"/>
      <color rgb="FF980000"/>
      <name val="Arial"/>
      <charset val="1"/>
    </font>
    <font>
      <b/>
      <sz val="10"/>
      <color rgb="FF0000FF"/>
      <name val="Arial"/>
    </font>
    <font>
      <sz val="12"/>
      <color theme="1"/>
      <name val="Calibri"/>
      <charset val="1"/>
    </font>
    <font>
      <sz val="11"/>
      <color rgb="FF000000"/>
      <name val="Calibri"/>
    </font>
    <font>
      <sz val="10"/>
      <color theme="1"/>
      <name val="Arial"/>
      <charset val="1"/>
    </font>
    <font>
      <sz val="11"/>
      <color theme="1"/>
      <name val="Calibri"/>
    </font>
    <font>
      <sz val="11"/>
      <color rgb="FF212529"/>
      <name val="Calibri"/>
    </font>
    <font>
      <sz val="11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2"/>
      <color rgb="FF0432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CB4D"/>
        <bgColor rgb="FFF7CB4D"/>
      </patternFill>
    </fill>
    <fill>
      <patternFill patternType="solid">
        <fgColor rgb="FFF7CB4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5" fillId="2" borderId="0" xfId="0" applyFont="1" applyFill="1"/>
    <xf numFmtId="0" fontId="6" fillId="3" borderId="1" xfId="0" applyFont="1" applyFill="1" applyBorder="1" applyAlignment="1">
      <alignment readingOrder="1"/>
    </xf>
    <xf numFmtId="0" fontId="5" fillId="3" borderId="2" xfId="0" applyFont="1" applyFill="1" applyBorder="1" applyAlignment="1">
      <alignment readingOrder="1"/>
    </xf>
    <xf numFmtId="0" fontId="9" fillId="3" borderId="2" xfId="0" applyFont="1" applyFill="1" applyBorder="1" applyAlignment="1">
      <alignment wrapText="1" readingOrder="1"/>
    </xf>
    <xf numFmtId="0" fontId="4" fillId="0" borderId="0" xfId="0" applyFont="1" applyAlignment="1">
      <alignment wrapText="1"/>
    </xf>
    <xf numFmtId="0" fontId="5" fillId="0" borderId="0" xfId="0" applyFont="1"/>
    <xf numFmtId="0" fontId="10" fillId="0" borderId="0" xfId="0" applyFont="1"/>
    <xf numFmtId="0" fontId="6" fillId="0" borderId="3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11" fillId="0" borderId="2" xfId="0" applyFont="1" applyBorder="1" applyAlignment="1">
      <alignment readingOrder="1"/>
    </xf>
    <xf numFmtId="0" fontId="11" fillId="0" borderId="1" xfId="0" applyFont="1" applyBorder="1" applyAlignment="1">
      <alignment readingOrder="1"/>
    </xf>
    <xf numFmtId="0" fontId="4" fillId="4" borderId="0" xfId="0" applyFont="1" applyFill="1" applyAlignment="1">
      <alignment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" fillId="0" borderId="0" xfId="0" applyFont="1"/>
    <xf numFmtId="0" fontId="1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9C45-9CD0-48C5-9B98-ED3239AE7980}">
  <dimension ref="A1:D176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22" customWidth="1"/>
    <col min="2" max="2" width="11.83203125" customWidth="1"/>
    <col min="3" max="3" width="12.33203125" customWidth="1"/>
    <col min="4" max="4" width="13" customWidth="1"/>
  </cols>
  <sheetData>
    <row r="1" spans="1:4" x14ac:dyDescent="0.2">
      <c r="A1" s="23" t="s">
        <v>22</v>
      </c>
      <c r="B1" s="1">
        <v>1</v>
      </c>
      <c r="C1" s="1">
        <v>2</v>
      </c>
      <c r="D1" s="1">
        <v>3</v>
      </c>
    </row>
    <row r="2" spans="1:4" x14ac:dyDescent="0.2">
      <c r="A2" s="23" t="s">
        <v>23</v>
      </c>
      <c r="B2" s="16">
        <v>8</v>
      </c>
      <c r="C2" s="16">
        <v>8</v>
      </c>
      <c r="D2" s="16">
        <v>8</v>
      </c>
    </row>
    <row r="3" spans="1:4" ht="17" x14ac:dyDescent="0.2">
      <c r="A3" s="23" t="s">
        <v>1</v>
      </c>
      <c r="B3" s="27" t="s">
        <v>32</v>
      </c>
      <c r="C3" s="28" t="s">
        <v>33</v>
      </c>
      <c r="D3" s="28" t="s">
        <v>34</v>
      </c>
    </row>
    <row r="4" spans="1:4" ht="32.25" customHeight="1" x14ac:dyDescent="0.2">
      <c r="A4" s="24" t="s">
        <v>24</v>
      </c>
      <c r="B4">
        <f>SUM(B9:B176)</f>
        <v>183.17922902494311</v>
      </c>
      <c r="C4">
        <f>SUM(C9:C176)</f>
        <v>193.68399999999983</v>
      </c>
      <c r="D4">
        <f>SUM(D9:D176)</f>
        <v>181.06099999999978</v>
      </c>
    </row>
    <row r="5" spans="1:4" ht="21" customHeight="1" x14ac:dyDescent="0.2">
      <c r="A5" s="24" t="s">
        <v>7</v>
      </c>
      <c r="B5">
        <f>B4-B6</f>
        <v>183.17922902494311</v>
      </c>
      <c r="C5">
        <f>C4-C6</f>
        <v>193.40799999999984</v>
      </c>
      <c r="D5">
        <f>D4-D6</f>
        <v>181.06099999999978</v>
      </c>
    </row>
    <row r="6" spans="1:4" ht="20" customHeight="1" x14ac:dyDescent="0.2">
      <c r="A6" s="25" t="s">
        <v>25</v>
      </c>
      <c r="B6" s="26">
        <f t="shared" ref="B6:D6" si="0">B8</f>
        <v>0</v>
      </c>
      <c r="C6" s="26">
        <f t="shared" si="0"/>
        <v>0.27599999999998198</v>
      </c>
      <c r="D6" s="26">
        <f t="shared" si="0"/>
        <v>0</v>
      </c>
    </row>
    <row r="7" spans="1:4" x14ac:dyDescent="0.2">
      <c r="A7" s="26" t="s">
        <v>26</v>
      </c>
      <c r="B7" s="26"/>
      <c r="C7" s="26"/>
      <c r="D7" s="26"/>
    </row>
    <row r="8" spans="1:4" x14ac:dyDescent="0.2">
      <c r="A8" s="26" t="s">
        <v>26</v>
      </c>
      <c r="B8" s="26"/>
      <c r="C8" s="26">
        <v>0.27599999999998198</v>
      </c>
      <c r="D8" s="26"/>
    </row>
    <row r="9" spans="1:4" x14ac:dyDescent="0.2">
      <c r="A9" s="22" t="s">
        <v>27</v>
      </c>
      <c r="B9">
        <v>5.6529143950993603</v>
      </c>
      <c r="C9">
        <v>1.94222694218391</v>
      </c>
      <c r="D9">
        <v>0.37050000000000299</v>
      </c>
    </row>
    <row r="10" spans="1:4" x14ac:dyDescent="0.2">
      <c r="A10" s="22" t="s">
        <v>28</v>
      </c>
      <c r="B10">
        <v>0.99670011737228403</v>
      </c>
      <c r="C10">
        <v>0.80177305781608599</v>
      </c>
      <c r="D10">
        <v>0.432</v>
      </c>
    </row>
    <row r="11" spans="1:4" x14ac:dyDescent="0.2">
      <c r="A11" s="22" t="s">
        <v>27</v>
      </c>
      <c r="B11">
        <v>2.6322827364698602</v>
      </c>
      <c r="C11">
        <v>5.6366580122450198</v>
      </c>
      <c r="D11">
        <v>1.8390417588775101</v>
      </c>
    </row>
    <row r="12" spans="1:4" x14ac:dyDescent="0.2">
      <c r="A12" s="22" t="s">
        <v>28</v>
      </c>
      <c r="B12">
        <v>0.63971726353013203</v>
      </c>
      <c r="C12">
        <v>0.70555741624627899</v>
      </c>
      <c r="D12">
        <v>0.49695824112247999</v>
      </c>
    </row>
    <row r="13" spans="1:4" x14ac:dyDescent="0.2">
      <c r="A13" s="22" t="s">
        <v>27</v>
      </c>
      <c r="B13">
        <v>0.85069521548871796</v>
      </c>
      <c r="C13">
        <v>4.8737845715086898</v>
      </c>
      <c r="D13">
        <v>2.9085019072407001</v>
      </c>
    </row>
    <row r="14" spans="1:4" x14ac:dyDescent="0.2">
      <c r="A14" s="22" t="s">
        <v>28</v>
      </c>
      <c r="B14">
        <v>1.31730478451128</v>
      </c>
      <c r="C14">
        <v>1.976</v>
      </c>
      <c r="D14">
        <v>0.36349809275929901</v>
      </c>
    </row>
    <row r="15" spans="1:4" x14ac:dyDescent="0.2">
      <c r="A15" s="22" t="s">
        <v>27</v>
      </c>
      <c r="B15">
        <v>3.6766024510230002</v>
      </c>
      <c r="C15">
        <v>7.0719999999999903</v>
      </c>
      <c r="D15">
        <v>1.31758171121953</v>
      </c>
    </row>
    <row r="16" spans="1:4" x14ac:dyDescent="0.2">
      <c r="A16" s="22" t="s">
        <v>28</v>
      </c>
      <c r="B16">
        <v>0.63539754897699996</v>
      </c>
      <c r="C16">
        <v>0.71199999999999897</v>
      </c>
      <c r="D16">
        <v>2.95441828878046</v>
      </c>
    </row>
    <row r="17" spans="1:4" x14ac:dyDescent="0.2">
      <c r="A17" s="22" t="s">
        <v>27</v>
      </c>
      <c r="B17">
        <v>1.3679999999999899</v>
      </c>
      <c r="C17">
        <v>3.6</v>
      </c>
      <c r="D17">
        <v>0.28000000000000103</v>
      </c>
    </row>
    <row r="18" spans="1:4" x14ac:dyDescent="0.2">
      <c r="A18" s="22" t="s">
        <v>28</v>
      </c>
      <c r="B18">
        <v>0.61009700957511004</v>
      </c>
      <c r="C18">
        <v>1.76799999999999</v>
      </c>
      <c r="D18">
        <v>0.26399999999999901</v>
      </c>
    </row>
    <row r="19" spans="1:4" x14ac:dyDescent="0.2">
      <c r="A19" s="22" t="s">
        <v>27</v>
      </c>
      <c r="B19">
        <v>0.70466393114233095</v>
      </c>
      <c r="C19">
        <v>1.8005468038594601</v>
      </c>
      <c r="D19">
        <v>0.65520166717723705</v>
      </c>
    </row>
    <row r="20" spans="1:4" x14ac:dyDescent="0.2">
      <c r="A20" s="22" t="s">
        <v>28</v>
      </c>
      <c r="B20">
        <v>1.1732390592825499</v>
      </c>
      <c r="C20">
        <v>0.51945319614053498</v>
      </c>
      <c r="D20">
        <v>0.38479833282276299</v>
      </c>
    </row>
    <row r="21" spans="1:4" x14ac:dyDescent="0.2">
      <c r="A21" s="22" t="s">
        <v>27</v>
      </c>
      <c r="B21">
        <v>1.0855466925983299</v>
      </c>
      <c r="C21">
        <v>0.45599999999999502</v>
      </c>
      <c r="D21">
        <v>1.048</v>
      </c>
    </row>
    <row r="22" spans="1:4" x14ac:dyDescent="0.2">
      <c r="A22" s="22" t="s">
        <v>28</v>
      </c>
      <c r="B22">
        <v>1.12245330740166</v>
      </c>
      <c r="C22">
        <v>0.36800000000000199</v>
      </c>
      <c r="D22">
        <v>0.28799999999999798</v>
      </c>
    </row>
    <row r="23" spans="1:4" x14ac:dyDescent="0.2">
      <c r="A23" s="22" t="s">
        <v>27</v>
      </c>
      <c r="B23">
        <v>2.2883733157032702</v>
      </c>
      <c r="C23">
        <v>3.536</v>
      </c>
      <c r="D23">
        <v>1.70503854043713</v>
      </c>
    </row>
    <row r="24" spans="1:4" x14ac:dyDescent="0.2">
      <c r="A24" s="22" t="s">
        <v>28</v>
      </c>
      <c r="B24">
        <v>0.83962668429672505</v>
      </c>
      <c r="C24">
        <v>0.95199999999999796</v>
      </c>
      <c r="D24">
        <v>0.526961459562867</v>
      </c>
    </row>
    <row r="25" spans="1:4" x14ac:dyDescent="0.2">
      <c r="A25" s="22" t="s">
        <v>27</v>
      </c>
      <c r="B25">
        <v>0.84577499210671503</v>
      </c>
      <c r="C25">
        <v>1.41336411400406</v>
      </c>
      <c r="D25">
        <v>1.4183309357135501</v>
      </c>
    </row>
    <row r="26" spans="1:4" x14ac:dyDescent="0.2">
      <c r="A26" s="22" t="s">
        <v>28</v>
      </c>
      <c r="B26">
        <v>0.480715942066961</v>
      </c>
      <c r="C26">
        <v>0.25063588599594</v>
      </c>
      <c r="D26">
        <v>0.41262867915843698</v>
      </c>
    </row>
    <row r="27" spans="1:4" x14ac:dyDescent="0.2">
      <c r="A27" s="22" t="s">
        <v>27</v>
      </c>
      <c r="B27">
        <v>0.95350906582632</v>
      </c>
      <c r="C27">
        <v>4.6111536850045596</v>
      </c>
      <c r="D27">
        <v>0.44574085711560202</v>
      </c>
    </row>
    <row r="28" spans="1:4" x14ac:dyDescent="0.2">
      <c r="A28" s="22" t="s">
        <v>28</v>
      </c>
      <c r="B28">
        <v>0.376000000000001</v>
      </c>
      <c r="C28">
        <v>0.59684631499543095</v>
      </c>
      <c r="D28">
        <v>0.89929952801240898</v>
      </c>
    </row>
    <row r="29" spans="1:4" x14ac:dyDescent="0.2">
      <c r="A29" s="22" t="s">
        <v>27</v>
      </c>
      <c r="B29">
        <v>0.79413565816426501</v>
      </c>
      <c r="C29">
        <v>4.16618351549997</v>
      </c>
      <c r="D29">
        <v>1.96617741058787</v>
      </c>
    </row>
    <row r="30" spans="1:4" x14ac:dyDescent="0.2">
      <c r="A30" s="22" t="s">
        <v>28</v>
      </c>
      <c r="B30">
        <v>1.42186434183573</v>
      </c>
      <c r="C30">
        <v>0.82581648450002298</v>
      </c>
      <c r="D30">
        <v>0.60182258941212996</v>
      </c>
    </row>
    <row r="31" spans="1:4" x14ac:dyDescent="0.2">
      <c r="A31" s="22" t="s">
        <v>27</v>
      </c>
      <c r="B31">
        <v>2.8399999999999901</v>
      </c>
      <c r="C31">
        <v>1.9751660877283601</v>
      </c>
      <c r="D31">
        <v>0.97992068069522598</v>
      </c>
    </row>
    <row r="32" spans="1:4" x14ac:dyDescent="0.2">
      <c r="A32" s="22" t="s">
        <v>28</v>
      </c>
      <c r="B32">
        <v>0.67999999999999905</v>
      </c>
      <c r="C32">
        <v>0.35283391227163402</v>
      </c>
      <c r="D32">
        <v>0.51607931930477202</v>
      </c>
    </row>
    <row r="33" spans="1:4" x14ac:dyDescent="0.2">
      <c r="A33" s="22" t="s">
        <v>27</v>
      </c>
      <c r="B33">
        <v>3.944</v>
      </c>
      <c r="C33">
        <v>4.1439999999999904</v>
      </c>
      <c r="D33">
        <v>0.62433244255147702</v>
      </c>
    </row>
    <row r="34" spans="1:4" x14ac:dyDescent="0.2">
      <c r="A34" s="22" t="s">
        <v>28</v>
      </c>
      <c r="B34">
        <v>1.22399999999999</v>
      </c>
      <c r="C34">
        <v>1.1679999999999899</v>
      </c>
      <c r="D34">
        <v>0.59166755744852395</v>
      </c>
    </row>
    <row r="35" spans="1:4" x14ac:dyDescent="0.2">
      <c r="A35" s="22" t="s">
        <v>27</v>
      </c>
      <c r="B35">
        <v>1.5821386286944299</v>
      </c>
      <c r="C35">
        <v>3.0599342397605498</v>
      </c>
      <c r="D35">
        <v>0.61310630206963801</v>
      </c>
    </row>
    <row r="36" spans="1:4" x14ac:dyDescent="0.2">
      <c r="A36" s="22" t="s">
        <v>28</v>
      </c>
      <c r="B36">
        <v>0.66586137130557399</v>
      </c>
      <c r="C36">
        <v>1.17206576023944</v>
      </c>
      <c r="D36">
        <v>0.49089369793035997</v>
      </c>
    </row>
    <row r="37" spans="1:4" x14ac:dyDescent="0.2">
      <c r="A37" s="22" t="s">
        <v>27</v>
      </c>
      <c r="B37">
        <v>1.8879999999999899</v>
      </c>
      <c r="C37">
        <v>6</v>
      </c>
      <c r="D37">
        <v>1.20292155910891</v>
      </c>
    </row>
    <row r="38" spans="1:4" x14ac:dyDescent="0.2">
      <c r="A38" s="22" t="s">
        <v>28</v>
      </c>
      <c r="B38">
        <v>0.63199999999999701</v>
      </c>
      <c r="C38">
        <v>1.1439999999999999</v>
      </c>
      <c r="D38">
        <v>0.30107844089108499</v>
      </c>
    </row>
    <row r="39" spans="1:4" x14ac:dyDescent="0.2">
      <c r="A39" s="22" t="s">
        <v>27</v>
      </c>
      <c r="B39">
        <v>0.70399999999999996</v>
      </c>
      <c r="C39">
        <v>1.8792643814804799</v>
      </c>
      <c r="D39">
        <v>1.1507632079997201</v>
      </c>
    </row>
    <row r="40" spans="1:4" x14ac:dyDescent="0.2">
      <c r="A40" s="22" t="s">
        <v>28</v>
      </c>
      <c r="B40">
        <v>0.64</v>
      </c>
      <c r="C40">
        <v>0.272735618519519</v>
      </c>
      <c r="D40">
        <v>0.48923679200027598</v>
      </c>
    </row>
    <row r="41" spans="1:4" x14ac:dyDescent="0.2">
      <c r="A41" s="22" t="s">
        <v>27</v>
      </c>
      <c r="B41">
        <v>5.6496000714015597</v>
      </c>
      <c r="C41">
        <v>1.9991178801268401</v>
      </c>
      <c r="D41">
        <v>0.55252326834418497</v>
      </c>
    </row>
    <row r="42" spans="1:4" x14ac:dyDescent="0.2">
      <c r="A42" s="22" t="s">
        <v>28</v>
      </c>
      <c r="B42">
        <v>2.80639992859843</v>
      </c>
      <c r="C42">
        <v>0.32888211987315602</v>
      </c>
      <c r="D42">
        <v>0.79947673165581501</v>
      </c>
    </row>
    <row r="43" spans="1:4" x14ac:dyDescent="0.2">
      <c r="A43" s="22" t="s">
        <v>27</v>
      </c>
      <c r="B43">
        <v>2.9119999999999902</v>
      </c>
      <c r="C43">
        <v>3.0307528550423699</v>
      </c>
      <c r="D43">
        <v>0.33652568133593802</v>
      </c>
    </row>
    <row r="44" spans="1:4" x14ac:dyDescent="0.2">
      <c r="A44" s="22" t="s">
        <v>28</v>
      </c>
      <c r="B44">
        <v>0.26396730505823002</v>
      </c>
      <c r="C44">
        <v>1.0252471449576099</v>
      </c>
      <c r="D44">
        <v>0.26347431866405902</v>
      </c>
    </row>
    <row r="45" spans="1:4" x14ac:dyDescent="0.2">
      <c r="A45" s="22" t="s">
        <v>27</v>
      </c>
      <c r="B45">
        <v>2.2235161637829202</v>
      </c>
      <c r="C45">
        <v>7.8559999999999901</v>
      </c>
      <c r="D45">
        <v>1.1316465044010999</v>
      </c>
    </row>
    <row r="46" spans="1:4" x14ac:dyDescent="0.2">
      <c r="A46" s="22" t="s">
        <v>28</v>
      </c>
      <c r="B46">
        <v>0.39383956699461398</v>
      </c>
      <c r="C46">
        <v>1.43999999999999</v>
      </c>
      <c r="D46">
        <v>0.62658429057392695</v>
      </c>
    </row>
    <row r="47" spans="1:4" x14ac:dyDescent="0.2">
      <c r="A47" s="22" t="s">
        <v>27</v>
      </c>
      <c r="B47">
        <v>0.55986997268843197</v>
      </c>
      <c r="C47">
        <v>3.8446538140832298</v>
      </c>
      <c r="D47">
        <v>2.50576920502496</v>
      </c>
    </row>
    <row r="48" spans="1:4" x14ac:dyDescent="0.2">
      <c r="A48" s="22" t="s">
        <v>28</v>
      </c>
      <c r="B48">
        <v>0.24680699147580001</v>
      </c>
      <c r="C48">
        <v>1.2673461859167701</v>
      </c>
      <c r="D48">
        <v>0.40555536459292701</v>
      </c>
    </row>
    <row r="49" spans="1:4" x14ac:dyDescent="0.2">
      <c r="A49" s="22" t="s">
        <v>27</v>
      </c>
      <c r="B49">
        <v>2.0544516548848999</v>
      </c>
      <c r="C49">
        <v>4.5648434678388696</v>
      </c>
      <c r="D49">
        <v>0.29800960161442402</v>
      </c>
    </row>
    <row r="50" spans="1:4" x14ac:dyDescent="0.2">
      <c r="A50" s="22" t="s">
        <v>28</v>
      </c>
      <c r="B50">
        <v>0.90554834511509297</v>
      </c>
      <c r="C50">
        <v>0.53915653216112902</v>
      </c>
      <c r="D50">
        <v>0.47243503379264901</v>
      </c>
    </row>
    <row r="51" spans="1:4" x14ac:dyDescent="0.2">
      <c r="A51" s="22" t="s">
        <v>27</v>
      </c>
      <c r="B51">
        <v>2.952</v>
      </c>
      <c r="C51">
        <v>2.68184995648366</v>
      </c>
      <c r="D51">
        <v>1.0609135146850099</v>
      </c>
    </row>
    <row r="52" spans="1:4" x14ac:dyDescent="0.2">
      <c r="A52" s="22" t="s">
        <v>28</v>
      </c>
      <c r="B52">
        <v>0.53600000000000103</v>
      </c>
      <c r="C52">
        <v>0.85415004351634105</v>
      </c>
      <c r="D52">
        <v>0.27508648531497898</v>
      </c>
    </row>
    <row r="53" spans="1:4" x14ac:dyDescent="0.2">
      <c r="A53" s="22" t="s">
        <v>27</v>
      </c>
      <c r="B53">
        <v>0.27215925125700802</v>
      </c>
      <c r="C53">
        <v>4.67802252708477</v>
      </c>
      <c r="D53">
        <v>1.9147266087219901</v>
      </c>
    </row>
    <row r="54" spans="1:4" x14ac:dyDescent="0.2">
      <c r="A54" s="22" t="s">
        <v>28</v>
      </c>
      <c r="B54">
        <v>0.26835146966790502</v>
      </c>
      <c r="C54">
        <v>0.92997747291521105</v>
      </c>
      <c r="D54">
        <v>0.37696941058918998</v>
      </c>
    </row>
    <row r="55" spans="1:4" x14ac:dyDescent="0.2">
      <c r="A55" s="22" t="s">
        <v>27</v>
      </c>
      <c r="B55">
        <v>1.8274892790750801</v>
      </c>
      <c r="C55">
        <v>1.7598308588154601</v>
      </c>
      <c r="D55">
        <v>1.11307859748295</v>
      </c>
    </row>
    <row r="56" spans="1:4" x14ac:dyDescent="0.2">
      <c r="A56" s="22" t="s">
        <v>28</v>
      </c>
      <c r="B56">
        <v>2.2320142779033301</v>
      </c>
      <c r="C56">
        <v>0.47795824971522899</v>
      </c>
      <c r="D56">
        <v>1.6752253832058499</v>
      </c>
    </row>
    <row r="57" spans="1:4" x14ac:dyDescent="0.2">
      <c r="A57" s="22" t="s">
        <v>27</v>
      </c>
      <c r="B57">
        <v>0.51739707820861702</v>
      </c>
      <c r="C57">
        <v>3.4258457385227201</v>
      </c>
      <c r="D57">
        <v>1.04</v>
      </c>
    </row>
    <row r="58" spans="1:4" x14ac:dyDescent="0.2">
      <c r="A58" s="22" t="s">
        <v>28</v>
      </c>
      <c r="B58">
        <v>2.0825886438880499</v>
      </c>
      <c r="C58">
        <v>0.65176124961166604</v>
      </c>
      <c r="D58">
        <v>0.303999999999994</v>
      </c>
    </row>
    <row r="59" spans="1:4" x14ac:dyDescent="0.2">
      <c r="A59" s="22" t="s">
        <v>27</v>
      </c>
      <c r="B59">
        <v>6.1966570258348304</v>
      </c>
      <c r="C59">
        <v>2.5449724984836402</v>
      </c>
      <c r="D59">
        <v>2.3569980665546302</v>
      </c>
    </row>
    <row r="60" spans="1:4" x14ac:dyDescent="0.2">
      <c r="A60" s="22" t="s">
        <v>28</v>
      </c>
      <c r="B60">
        <v>0.46734297416516302</v>
      </c>
      <c r="C60">
        <v>1.8276314048512701</v>
      </c>
      <c r="D60">
        <v>0.25100193344536498</v>
      </c>
    </row>
    <row r="61" spans="1:4" x14ac:dyDescent="0.2">
      <c r="A61" s="22" t="s">
        <v>27</v>
      </c>
      <c r="B61">
        <v>1.2952821467470099</v>
      </c>
      <c r="C61">
        <v>5.84</v>
      </c>
      <c r="D61">
        <v>1.8427065496919</v>
      </c>
    </row>
    <row r="62" spans="1:4" x14ac:dyDescent="0.2">
      <c r="A62" s="22" t="s">
        <v>28</v>
      </c>
      <c r="B62">
        <v>0.70471785325298697</v>
      </c>
      <c r="C62">
        <v>0.69599999999999795</v>
      </c>
      <c r="D62">
        <v>3.01066110348936</v>
      </c>
    </row>
    <row r="63" spans="1:4" x14ac:dyDescent="0.2">
      <c r="A63" s="22" t="s">
        <v>27</v>
      </c>
      <c r="B63">
        <v>0.89573803419084097</v>
      </c>
      <c r="C63">
        <v>3.51386348586639</v>
      </c>
      <c r="D63">
        <v>0.44064667589142198</v>
      </c>
    </row>
    <row r="64" spans="1:4" x14ac:dyDescent="0.2">
      <c r="A64" s="22" t="s">
        <v>28</v>
      </c>
      <c r="B64">
        <v>0.26426196580915401</v>
      </c>
      <c r="C64">
        <v>1.3501365141335999</v>
      </c>
      <c r="D64">
        <v>1.08182867777819</v>
      </c>
    </row>
    <row r="65" spans="1:4" x14ac:dyDescent="0.2">
      <c r="A65" s="22" t="s">
        <v>27</v>
      </c>
      <c r="B65">
        <v>0.41916551809326502</v>
      </c>
      <c r="C65">
        <v>1.0473748083351599</v>
      </c>
      <c r="D65">
        <v>0.54253030037498395</v>
      </c>
    </row>
    <row r="66" spans="1:4" x14ac:dyDescent="0.2">
      <c r="A66" s="22" t="s">
        <v>28</v>
      </c>
      <c r="B66">
        <v>0.94083448190673302</v>
      </c>
      <c r="C66">
        <v>0.32862519166482601</v>
      </c>
      <c r="D66">
        <v>2.1216266927741199</v>
      </c>
    </row>
    <row r="67" spans="1:4" x14ac:dyDescent="0.2">
      <c r="A67" s="22" t="s">
        <v>27</v>
      </c>
      <c r="B67">
        <v>1.0838312206765399</v>
      </c>
      <c r="C67">
        <v>5.4</v>
      </c>
      <c r="D67">
        <v>0.66743752746348395</v>
      </c>
    </row>
    <row r="68" spans="1:4" x14ac:dyDescent="0.2">
      <c r="A68" s="22" t="s">
        <v>28</v>
      </c>
      <c r="B68">
        <v>1.2521687793234499</v>
      </c>
      <c r="C68">
        <v>1.20799999999999</v>
      </c>
      <c r="D68">
        <v>0.31329214528696497</v>
      </c>
    </row>
    <row r="69" spans="1:4" x14ac:dyDescent="0.2">
      <c r="A69" s="22" t="s">
        <v>27</v>
      </c>
      <c r="B69">
        <v>2.61286461833941</v>
      </c>
      <c r="C69">
        <v>3.37926804275269</v>
      </c>
      <c r="D69">
        <v>0.83544572076524304</v>
      </c>
    </row>
    <row r="70" spans="1:4" x14ac:dyDescent="0.2">
      <c r="A70" s="22" t="s">
        <v>28</v>
      </c>
      <c r="B70">
        <v>1.0111353816605799</v>
      </c>
      <c r="C70">
        <v>0.60473195724728102</v>
      </c>
      <c r="D70">
        <v>0.79982460648430698</v>
      </c>
    </row>
    <row r="71" spans="1:4" x14ac:dyDescent="0.2">
      <c r="A71" s="22" t="s">
        <v>27</v>
      </c>
      <c r="B71">
        <v>4.06385637901829</v>
      </c>
      <c r="C71">
        <v>0.76030678250330597</v>
      </c>
      <c r="D71">
        <v>3.5015266049745501</v>
      </c>
    </row>
    <row r="72" spans="1:4" x14ac:dyDescent="0.2">
      <c r="A72" s="22" t="s">
        <v>28</v>
      </c>
      <c r="B72">
        <v>1.1201436209817</v>
      </c>
      <c r="C72">
        <v>0.66369321749669996</v>
      </c>
      <c r="D72">
        <v>0.30055669222652098</v>
      </c>
    </row>
    <row r="73" spans="1:4" x14ac:dyDescent="0.2">
      <c r="A73" s="22" t="s">
        <v>27</v>
      </c>
      <c r="B73">
        <v>2.3891428022822701</v>
      </c>
      <c r="C73">
        <v>4.4303899461348202</v>
      </c>
      <c r="D73">
        <v>1.76768088478986</v>
      </c>
    </row>
    <row r="74" spans="1:4" x14ac:dyDescent="0.2">
      <c r="A74" s="22" t="s">
        <v>28</v>
      </c>
      <c r="B74">
        <v>0.27485719771772199</v>
      </c>
      <c r="C74">
        <v>0.52161005386517401</v>
      </c>
      <c r="D74">
        <v>0.470235818009058</v>
      </c>
    </row>
    <row r="75" spans="1:4" x14ac:dyDescent="0.2">
      <c r="A75" s="22" t="s">
        <v>27</v>
      </c>
      <c r="B75">
        <v>0.82750747264466895</v>
      </c>
      <c r="C75">
        <v>0.48547726943203801</v>
      </c>
      <c r="D75">
        <v>0.55200000000000604</v>
      </c>
    </row>
    <row r="76" spans="1:4" x14ac:dyDescent="0.2">
      <c r="A76" s="22" t="s">
        <v>28</v>
      </c>
      <c r="B76">
        <v>0.32449252735533202</v>
      </c>
      <c r="C76">
        <v>0.77052273056796095</v>
      </c>
      <c r="D76">
        <v>0.59999999999999398</v>
      </c>
    </row>
    <row r="77" spans="1:4" x14ac:dyDescent="0.2">
      <c r="A77" s="22" t="s">
        <v>27</v>
      </c>
      <c r="B77">
        <v>1.1929481572415701</v>
      </c>
      <c r="C77">
        <v>5.1816736594695296</v>
      </c>
      <c r="D77">
        <v>3.016</v>
      </c>
    </row>
    <row r="78" spans="1:4" x14ac:dyDescent="0.2">
      <c r="A78" s="22" t="s">
        <v>28</v>
      </c>
      <c r="B78">
        <v>0.85505184275842705</v>
      </c>
      <c r="C78">
        <v>0.242326340530468</v>
      </c>
      <c r="D78">
        <v>0.40800000000000097</v>
      </c>
    </row>
    <row r="79" spans="1:4" x14ac:dyDescent="0.2">
      <c r="A79" s="22" t="s">
        <v>27</v>
      </c>
      <c r="B79">
        <v>1.20799999999999</v>
      </c>
      <c r="C79">
        <v>1.17913390862261</v>
      </c>
      <c r="D79">
        <v>1.12213281211114</v>
      </c>
    </row>
    <row r="80" spans="1:4" x14ac:dyDescent="0.2">
      <c r="A80" s="22" t="s">
        <v>28</v>
      </c>
      <c r="B80">
        <v>0.66400000000000103</v>
      </c>
      <c r="C80">
        <v>1.56486609137738</v>
      </c>
      <c r="D80">
        <v>0.62186718788885198</v>
      </c>
    </row>
    <row r="81" spans="1:4" x14ac:dyDescent="0.2">
      <c r="A81" s="22" t="s">
        <v>27</v>
      </c>
      <c r="B81">
        <v>5.2799812766607301</v>
      </c>
      <c r="C81">
        <v>2.94517931316599</v>
      </c>
      <c r="D81">
        <v>3.12235601188218</v>
      </c>
    </row>
    <row r="82" spans="1:4" x14ac:dyDescent="0.2">
      <c r="A82" s="22" t="s">
        <v>28</v>
      </c>
      <c r="B82">
        <v>0.28801872333926298</v>
      </c>
      <c r="C82">
        <v>0.28682068683400502</v>
      </c>
      <c r="D82">
        <v>0.63764398811781497</v>
      </c>
    </row>
    <row r="83" spans="1:4" x14ac:dyDescent="0.2">
      <c r="A83" s="22" t="s">
        <v>27</v>
      </c>
      <c r="B83">
        <v>0.85295766927750005</v>
      </c>
      <c r="C83">
        <v>3.6501222388691001</v>
      </c>
      <c r="D83">
        <v>1.36623149123664</v>
      </c>
    </row>
    <row r="84" spans="1:4" x14ac:dyDescent="0.2">
      <c r="A84" s="22" t="s">
        <v>28</v>
      </c>
      <c r="B84">
        <v>1.7070423307225</v>
      </c>
      <c r="C84">
        <v>0.53387776113089502</v>
      </c>
      <c r="D84">
        <v>0.257768508763348</v>
      </c>
    </row>
    <row r="85" spans="1:4" x14ac:dyDescent="0.2">
      <c r="A85" s="22" t="s">
        <v>27</v>
      </c>
      <c r="B85">
        <v>3.4</v>
      </c>
      <c r="C85">
        <v>2.2588283807890801</v>
      </c>
      <c r="D85">
        <v>0.50381158425130901</v>
      </c>
    </row>
    <row r="86" spans="1:4" x14ac:dyDescent="0.2">
      <c r="A86" s="22" t="s">
        <v>28</v>
      </c>
      <c r="B86">
        <v>1.1359999999999899</v>
      </c>
      <c r="C86">
        <v>0.99717161921091702</v>
      </c>
      <c r="D86">
        <v>0.60818841574868499</v>
      </c>
    </row>
    <row r="87" spans="1:4" x14ac:dyDescent="0.2">
      <c r="A87" s="22" t="s">
        <v>27</v>
      </c>
      <c r="B87">
        <v>6.9302392263319401</v>
      </c>
      <c r="C87">
        <v>2.1912857955560101</v>
      </c>
      <c r="D87">
        <v>3.64290581582808</v>
      </c>
    </row>
    <row r="88" spans="1:4" x14ac:dyDescent="0.2">
      <c r="A88" s="22" t="s">
        <v>28</v>
      </c>
      <c r="B88">
        <v>1.09026211561703</v>
      </c>
      <c r="C88">
        <v>0.28071420444399497</v>
      </c>
      <c r="D88">
        <v>0.94109418417191604</v>
      </c>
    </row>
    <row r="89" spans="1:4" x14ac:dyDescent="0.2">
      <c r="A89" s="22" t="s">
        <v>27</v>
      </c>
      <c r="B89">
        <v>6.7854911481372397</v>
      </c>
      <c r="C89">
        <v>5.1394961006734503</v>
      </c>
      <c r="D89">
        <v>1.5365401490311199</v>
      </c>
    </row>
    <row r="90" spans="1:4" x14ac:dyDescent="0.2">
      <c r="A90" s="22" t="s">
        <v>28</v>
      </c>
      <c r="B90">
        <v>1.07400750991376</v>
      </c>
      <c r="C90">
        <v>1.0125038993265301</v>
      </c>
      <c r="D90">
        <v>0.34131014201994903</v>
      </c>
    </row>
    <row r="91" spans="1:4" x14ac:dyDescent="0.2">
      <c r="A91" s="22" t="s">
        <v>27</v>
      </c>
      <c r="B91">
        <v>0.75999999999999002</v>
      </c>
      <c r="C91">
        <v>4.8052021711044404</v>
      </c>
      <c r="D91">
        <v>0.51451230364202105</v>
      </c>
    </row>
    <row r="92" spans="1:4" x14ac:dyDescent="0.2">
      <c r="A92" s="22" t="s">
        <v>28</v>
      </c>
      <c r="B92">
        <v>0.26400000000001</v>
      </c>
      <c r="C92">
        <v>0.77079782889555304</v>
      </c>
      <c r="D92">
        <v>0.44763740530690599</v>
      </c>
    </row>
    <row r="93" spans="1:4" x14ac:dyDescent="0.2">
      <c r="A93" s="22" t="s">
        <v>27</v>
      </c>
      <c r="B93">
        <v>2.3679999999999901</v>
      </c>
      <c r="C93">
        <v>0.93724640049958896</v>
      </c>
      <c r="D93">
        <v>2.5400998826736498</v>
      </c>
    </row>
    <row r="94" spans="1:4" x14ac:dyDescent="0.2">
      <c r="A94" s="22" t="s">
        <v>28</v>
      </c>
      <c r="B94">
        <v>0.81600000000000195</v>
      </c>
      <c r="C94">
        <v>0.85475359950041196</v>
      </c>
      <c r="D94">
        <v>0.259803242433093</v>
      </c>
    </row>
    <row r="95" spans="1:4" x14ac:dyDescent="0.2">
      <c r="A95" s="22" t="s">
        <v>27</v>
      </c>
      <c r="B95">
        <v>1.52799999999999</v>
      </c>
      <c r="C95">
        <v>1.41461426565197</v>
      </c>
      <c r="D95">
        <v>0.936096874893252</v>
      </c>
    </row>
    <row r="96" spans="1:4" x14ac:dyDescent="0.2">
      <c r="A96" s="22" t="s">
        <v>28</v>
      </c>
      <c r="B96">
        <v>0.439999999999997</v>
      </c>
      <c r="C96">
        <v>0.69738573434804596</v>
      </c>
      <c r="D96">
        <v>0.27199999999999103</v>
      </c>
    </row>
    <row r="97" spans="1:4" x14ac:dyDescent="0.2">
      <c r="A97" s="22" t="s">
        <v>27</v>
      </c>
      <c r="B97">
        <v>1.1280000000000101</v>
      </c>
      <c r="C97">
        <v>4.4038875904624302</v>
      </c>
      <c r="D97">
        <v>0.91200000000000603</v>
      </c>
    </row>
    <row r="98" spans="1:4" x14ac:dyDescent="0.2">
      <c r="A98" s="22" t="s">
        <v>28</v>
      </c>
      <c r="B98">
        <v>0.54399999999998205</v>
      </c>
      <c r="C98">
        <v>0.74811240953755398</v>
      </c>
      <c r="D98">
        <v>0.76800000000000002</v>
      </c>
    </row>
    <row r="99" spans="1:4" x14ac:dyDescent="0.2">
      <c r="A99" s="22" t="s">
        <v>27</v>
      </c>
      <c r="B99">
        <v>2.1469351842772801</v>
      </c>
      <c r="C99">
        <v>2.10972864280185</v>
      </c>
      <c r="D99">
        <v>2.6103869242475199</v>
      </c>
    </row>
    <row r="100" spans="1:4" x14ac:dyDescent="0.2">
      <c r="A100" s="22" t="s">
        <v>28</v>
      </c>
      <c r="B100">
        <v>0.69306481572272105</v>
      </c>
      <c r="C100">
        <v>0.86627135719814397</v>
      </c>
      <c r="D100">
        <v>1.52561307575247</v>
      </c>
    </row>
    <row r="101" spans="1:4" x14ac:dyDescent="0.2">
      <c r="A101" s="22" t="s">
        <v>27</v>
      </c>
      <c r="B101">
        <v>2.9680000000000102</v>
      </c>
      <c r="C101">
        <v>2.1320000000000001</v>
      </c>
      <c r="D101">
        <v>1.1200000000000001</v>
      </c>
    </row>
    <row r="102" spans="1:4" x14ac:dyDescent="0.2">
      <c r="A102" s="22" t="s">
        <v>28</v>
      </c>
      <c r="B102">
        <v>0.76799999999997204</v>
      </c>
      <c r="D102">
        <v>0.44799999999999301</v>
      </c>
    </row>
    <row r="103" spans="1:4" x14ac:dyDescent="0.2">
      <c r="A103" s="22" t="s">
        <v>27</v>
      </c>
      <c r="B103">
        <v>0.18451695560600001</v>
      </c>
      <c r="D103">
        <v>2.1781796589123501</v>
      </c>
    </row>
    <row r="104" spans="1:4" x14ac:dyDescent="0.2">
      <c r="A104" s="22" t="s">
        <v>28</v>
      </c>
      <c r="B104">
        <v>0.57548304439401898</v>
      </c>
      <c r="D104">
        <v>0.54982034108765199</v>
      </c>
    </row>
    <row r="105" spans="1:4" x14ac:dyDescent="0.2">
      <c r="A105" s="22" t="s">
        <v>27</v>
      </c>
      <c r="B105">
        <v>0.45599999999998803</v>
      </c>
      <c r="D105">
        <v>0.69825405883602798</v>
      </c>
    </row>
    <row r="106" spans="1:4" x14ac:dyDescent="0.2">
      <c r="A106" s="22" t="s">
        <v>28</v>
      </c>
      <c r="B106">
        <v>1.8559999999999901</v>
      </c>
      <c r="D106">
        <v>0.33366887018368602</v>
      </c>
    </row>
    <row r="107" spans="1:4" x14ac:dyDescent="0.2">
      <c r="A107" s="22" t="s">
        <v>27</v>
      </c>
      <c r="B107">
        <v>0.24800000000001801</v>
      </c>
      <c r="D107">
        <v>0.77176845546300399</v>
      </c>
    </row>
    <row r="108" spans="1:4" x14ac:dyDescent="0.2">
      <c r="A108" s="22" t="s">
        <v>28</v>
      </c>
      <c r="B108">
        <v>0.25600000000000001</v>
      </c>
      <c r="D108">
        <v>0.57230861551727197</v>
      </c>
    </row>
    <row r="109" spans="1:4" x14ac:dyDescent="0.2">
      <c r="A109" s="22" t="s">
        <v>27</v>
      </c>
      <c r="B109">
        <v>2.4</v>
      </c>
      <c r="D109">
        <v>2.1556254300301898</v>
      </c>
    </row>
    <row r="110" spans="1:4" x14ac:dyDescent="0.2">
      <c r="A110" s="22" t="s">
        <v>28</v>
      </c>
      <c r="B110">
        <v>0.50399999999999001</v>
      </c>
      <c r="D110">
        <v>0.69237456996979996</v>
      </c>
    </row>
    <row r="111" spans="1:4" x14ac:dyDescent="0.2">
      <c r="A111" s="22" t="s">
        <v>27</v>
      </c>
      <c r="B111">
        <v>1.03999999999999</v>
      </c>
      <c r="D111">
        <v>2.6</v>
      </c>
    </row>
    <row r="112" spans="1:4" x14ac:dyDescent="0.2">
      <c r="A112" s="22" t="s">
        <v>28</v>
      </c>
      <c r="B112">
        <v>0.78597360215502399</v>
      </c>
      <c r="D112">
        <v>0.29069708887990903</v>
      </c>
    </row>
    <row r="113" spans="1:4" x14ac:dyDescent="0.2">
      <c r="A113" s="22" t="s">
        <v>27</v>
      </c>
      <c r="B113">
        <v>4.9533649271671703</v>
      </c>
      <c r="D113">
        <v>0.83289863015315202</v>
      </c>
    </row>
    <row r="114" spans="1:4" x14ac:dyDescent="0.2">
      <c r="A114" s="22" t="s">
        <v>28</v>
      </c>
      <c r="B114">
        <v>0.76065092841116599</v>
      </c>
      <c r="D114">
        <v>1.6204042809669299</v>
      </c>
    </row>
    <row r="115" spans="1:4" x14ac:dyDescent="0.2">
      <c r="A115" s="22" t="s">
        <v>27</v>
      </c>
      <c r="B115">
        <v>0.97201054226664496</v>
      </c>
      <c r="D115">
        <v>1.63477752128298</v>
      </c>
    </row>
    <row r="116" spans="1:4" x14ac:dyDescent="0.2">
      <c r="A116" s="22" t="s">
        <v>28</v>
      </c>
      <c r="B116">
        <v>0.43199999999998701</v>
      </c>
      <c r="D116">
        <v>0.285222478717017</v>
      </c>
    </row>
    <row r="117" spans="1:4" x14ac:dyDescent="0.2">
      <c r="A117" s="22" t="s">
        <v>27</v>
      </c>
      <c r="B117">
        <v>1.8879999999999999</v>
      </c>
      <c r="D117">
        <v>0.18089510329529901</v>
      </c>
    </row>
    <row r="118" spans="1:4" x14ac:dyDescent="0.2">
      <c r="A118" s="22" t="s">
        <v>28</v>
      </c>
      <c r="B118">
        <v>2.1520000000000099</v>
      </c>
      <c r="D118">
        <v>0.37910489670470299</v>
      </c>
    </row>
    <row r="119" spans="1:4" x14ac:dyDescent="0.2">
      <c r="A119" s="22" t="s">
        <v>27</v>
      </c>
      <c r="B119">
        <v>4.7426542984119298</v>
      </c>
      <c r="D119">
        <v>0.39199999999999502</v>
      </c>
    </row>
    <row r="120" spans="1:4" x14ac:dyDescent="0.2">
      <c r="A120" s="22" t="s">
        <v>28</v>
      </c>
      <c r="B120">
        <v>0.57734570158805798</v>
      </c>
      <c r="D120">
        <v>0.30400000000000199</v>
      </c>
    </row>
    <row r="121" spans="1:4" x14ac:dyDescent="0.2">
      <c r="A121" s="22" t="s">
        <v>27</v>
      </c>
      <c r="B121">
        <v>0.45937904094188298</v>
      </c>
      <c r="D121">
        <v>1.43999999999999</v>
      </c>
    </row>
    <row r="122" spans="1:4" x14ac:dyDescent="0.2">
      <c r="A122" s="22" t="s">
        <v>28</v>
      </c>
      <c r="B122">
        <v>0.32462095905810801</v>
      </c>
      <c r="D122">
        <v>0.41599999999999598</v>
      </c>
    </row>
    <row r="123" spans="1:4" x14ac:dyDescent="0.2">
      <c r="A123" s="22" t="s">
        <v>27</v>
      </c>
      <c r="B123">
        <v>0.81635543355866902</v>
      </c>
      <c r="D123">
        <v>1.7497628159554599</v>
      </c>
    </row>
    <row r="124" spans="1:4" x14ac:dyDescent="0.2">
      <c r="A124" s="22" t="s">
        <v>28</v>
      </c>
      <c r="B124">
        <v>0.583644566441336</v>
      </c>
      <c r="D124">
        <v>0.41823718404454202</v>
      </c>
    </row>
    <row r="125" spans="1:4" x14ac:dyDescent="0.2">
      <c r="A125" s="22" t="s">
        <v>27</v>
      </c>
      <c r="B125">
        <v>0.73599999999999</v>
      </c>
      <c r="D125">
        <v>0.78908376608570996</v>
      </c>
    </row>
    <row r="126" spans="1:4" x14ac:dyDescent="0.2">
      <c r="A126" s="22" t="s">
        <v>28</v>
      </c>
      <c r="B126">
        <v>1.02445518472703</v>
      </c>
      <c r="D126">
        <v>0.39491623391428698</v>
      </c>
    </row>
    <row r="127" spans="1:4" x14ac:dyDescent="0.2">
      <c r="A127" s="22" t="s">
        <v>27</v>
      </c>
      <c r="B127">
        <v>4.6657075963721297</v>
      </c>
      <c r="D127">
        <v>2.3737712614266102</v>
      </c>
    </row>
    <row r="128" spans="1:4" x14ac:dyDescent="0.2">
      <c r="A128" s="22" t="s">
        <v>28</v>
      </c>
      <c r="B128">
        <v>0.26062912521703602</v>
      </c>
      <c r="D128">
        <v>0.81693125412091605</v>
      </c>
    </row>
    <row r="129" spans="1:4" x14ac:dyDescent="0.2">
      <c r="A129" s="22" t="s">
        <v>27</v>
      </c>
      <c r="B129">
        <v>2.5228226061554699</v>
      </c>
      <c r="D129">
        <v>1.8746586904976099</v>
      </c>
    </row>
    <row r="130" spans="1:4" x14ac:dyDescent="0.2">
      <c r="A130" s="22" t="s">
        <v>28</v>
      </c>
      <c r="D130">
        <v>0.45463879395485601</v>
      </c>
    </row>
    <row r="131" spans="1:4" x14ac:dyDescent="0.2">
      <c r="A131" s="22" t="s">
        <v>27</v>
      </c>
      <c r="D131">
        <v>0.94626104269417499</v>
      </c>
    </row>
    <row r="132" spans="1:4" x14ac:dyDescent="0.2">
      <c r="A132" s="22" t="s">
        <v>28</v>
      </c>
      <c r="D132">
        <v>0.357738957305826</v>
      </c>
    </row>
    <row r="133" spans="1:4" x14ac:dyDescent="0.2">
      <c r="A133" s="22" t="s">
        <v>27</v>
      </c>
      <c r="D133">
        <v>1.26985194381913</v>
      </c>
    </row>
    <row r="134" spans="1:4" x14ac:dyDescent="0.2">
      <c r="A134" s="22" t="s">
        <v>28</v>
      </c>
      <c r="D134">
        <v>0.41014805618085798</v>
      </c>
    </row>
    <row r="135" spans="1:4" x14ac:dyDescent="0.2">
      <c r="A135" s="22" t="s">
        <v>27</v>
      </c>
      <c r="D135">
        <v>2.14899317660903</v>
      </c>
    </row>
    <row r="136" spans="1:4" x14ac:dyDescent="0.2">
      <c r="A136" s="22" t="s">
        <v>28</v>
      </c>
      <c r="D136">
        <v>2.0670068233909502</v>
      </c>
    </row>
    <row r="137" spans="1:4" x14ac:dyDescent="0.2">
      <c r="A137" s="22" t="s">
        <v>27</v>
      </c>
      <c r="D137">
        <v>1.4683549461887799</v>
      </c>
    </row>
    <row r="138" spans="1:4" x14ac:dyDescent="0.2">
      <c r="A138" s="22" t="s">
        <v>28</v>
      </c>
      <c r="D138">
        <v>0.38764505381123998</v>
      </c>
    </row>
    <row r="139" spans="1:4" x14ac:dyDescent="0.2">
      <c r="A139" s="22" t="s">
        <v>27</v>
      </c>
      <c r="D139">
        <v>2.2409524578647502</v>
      </c>
    </row>
    <row r="140" spans="1:4" x14ac:dyDescent="0.2">
      <c r="A140" s="22" t="s">
        <v>28</v>
      </c>
      <c r="D140">
        <v>0.43104754213524599</v>
      </c>
    </row>
    <row r="141" spans="1:4" x14ac:dyDescent="0.2">
      <c r="A141" s="22" t="s">
        <v>27</v>
      </c>
      <c r="D141">
        <v>3.8193618570818102</v>
      </c>
    </row>
    <row r="142" spans="1:4" x14ac:dyDescent="0.2">
      <c r="A142" s="22" t="s">
        <v>28</v>
      </c>
      <c r="D142">
        <v>0.50863814291818699</v>
      </c>
    </row>
    <row r="143" spans="1:4" x14ac:dyDescent="0.2">
      <c r="A143" s="22" t="s">
        <v>27</v>
      </c>
      <c r="D143">
        <v>0.31916630601079898</v>
      </c>
    </row>
    <row r="144" spans="1:4" x14ac:dyDescent="0.2">
      <c r="A144" s="22" t="s">
        <v>28</v>
      </c>
      <c r="D144">
        <v>0.60883369398919696</v>
      </c>
    </row>
    <row r="145" spans="1:4" x14ac:dyDescent="0.2">
      <c r="A145" s="22" t="s">
        <v>27</v>
      </c>
      <c r="D145">
        <v>2.2712409559239202</v>
      </c>
    </row>
    <row r="146" spans="1:4" x14ac:dyDescent="0.2">
      <c r="A146" s="22" t="s">
        <v>28</v>
      </c>
      <c r="D146">
        <v>0.38475904407607597</v>
      </c>
    </row>
    <row r="147" spans="1:4" x14ac:dyDescent="0.2">
      <c r="A147" s="22" t="s">
        <v>27</v>
      </c>
      <c r="D147">
        <v>1.02123497379713</v>
      </c>
    </row>
    <row r="148" spans="1:4" x14ac:dyDescent="0.2">
      <c r="A148" s="22" t="s">
        <v>28</v>
      </c>
      <c r="D148">
        <v>0.81076502620285795</v>
      </c>
    </row>
    <row r="149" spans="1:4" x14ac:dyDescent="0.2">
      <c r="A149" s="22" t="s">
        <v>27</v>
      </c>
      <c r="D149">
        <v>3.4</v>
      </c>
    </row>
    <row r="150" spans="1:4" x14ac:dyDescent="0.2">
      <c r="A150" s="22" t="s">
        <v>28</v>
      </c>
      <c r="D150">
        <v>0.59999999999999398</v>
      </c>
    </row>
    <row r="151" spans="1:4" x14ac:dyDescent="0.2">
      <c r="A151" s="22" t="s">
        <v>27</v>
      </c>
      <c r="D151">
        <v>3.0667014046291499</v>
      </c>
    </row>
    <row r="152" spans="1:4" x14ac:dyDescent="0.2">
      <c r="A152" s="22" t="s">
        <v>28</v>
      </c>
      <c r="D152">
        <v>0.33876305140785201</v>
      </c>
    </row>
    <row r="153" spans="1:4" x14ac:dyDescent="0.2">
      <c r="A153" s="22" t="s">
        <v>27</v>
      </c>
      <c r="D153">
        <v>3.4665355439629701</v>
      </c>
    </row>
    <row r="154" spans="1:4" x14ac:dyDescent="0.2">
      <c r="A154" s="22" t="s">
        <v>28</v>
      </c>
      <c r="D154">
        <v>0.39199999999999502</v>
      </c>
    </row>
    <row r="155" spans="1:4" x14ac:dyDescent="0.2">
      <c r="A155" s="22" t="s">
        <v>27</v>
      </c>
      <c r="D155">
        <v>1.0369726124723599</v>
      </c>
    </row>
    <row r="156" spans="1:4" x14ac:dyDescent="0.2">
      <c r="A156" s="22" t="s">
        <v>28</v>
      </c>
      <c r="D156">
        <v>2.0270273875276499</v>
      </c>
    </row>
    <row r="157" spans="1:4" x14ac:dyDescent="0.2">
      <c r="A157" s="22" t="s">
        <v>27</v>
      </c>
      <c r="D157">
        <v>2.9009081145051399</v>
      </c>
    </row>
    <row r="158" spans="1:4" x14ac:dyDescent="0.2">
      <c r="A158" s="22" t="s">
        <v>28</v>
      </c>
      <c r="D158">
        <v>1.18709188549485</v>
      </c>
    </row>
    <row r="159" spans="1:4" x14ac:dyDescent="0.2">
      <c r="A159" s="22" t="s">
        <v>27</v>
      </c>
      <c r="D159">
        <v>0.88878696335780205</v>
      </c>
    </row>
    <row r="160" spans="1:4" x14ac:dyDescent="0.2">
      <c r="A160" s="22" t="s">
        <v>28</v>
      </c>
      <c r="D160">
        <v>0.58321303664220603</v>
      </c>
    </row>
    <row r="161" spans="1:4" x14ac:dyDescent="0.2">
      <c r="A161" s="22" t="s">
        <v>27</v>
      </c>
      <c r="D161">
        <v>1.9555514712509701</v>
      </c>
    </row>
    <row r="162" spans="1:4" x14ac:dyDescent="0.2">
      <c r="A162" s="22" t="s">
        <v>28</v>
      </c>
      <c r="D162">
        <v>2.4204485287490001</v>
      </c>
    </row>
    <row r="163" spans="1:4" x14ac:dyDescent="0.2">
      <c r="A163" s="22" t="s">
        <v>27</v>
      </c>
      <c r="D163">
        <v>3.0958649046764002</v>
      </c>
    </row>
    <row r="164" spans="1:4" x14ac:dyDescent="0.2">
      <c r="A164" s="22" t="s">
        <v>28</v>
      </c>
      <c r="D164">
        <v>0.64813509532359603</v>
      </c>
    </row>
    <row r="165" spans="1:4" x14ac:dyDescent="0.2">
      <c r="A165" s="22" t="s">
        <v>27</v>
      </c>
      <c r="D165">
        <v>0.64323984500558096</v>
      </c>
    </row>
    <row r="166" spans="1:4" x14ac:dyDescent="0.2">
      <c r="A166" s="22" t="s">
        <v>28</v>
      </c>
      <c r="D166">
        <v>0.81276015499443499</v>
      </c>
    </row>
    <row r="167" spans="1:4" x14ac:dyDescent="0.2">
      <c r="A167" s="22" t="s">
        <v>27</v>
      </c>
      <c r="D167">
        <v>3.30079118352955</v>
      </c>
    </row>
    <row r="168" spans="1:4" x14ac:dyDescent="0.2">
      <c r="A168" s="22" t="s">
        <v>28</v>
      </c>
      <c r="D168">
        <v>0.33120881647044997</v>
      </c>
    </row>
    <row r="169" spans="1:4" x14ac:dyDescent="0.2">
      <c r="A169" s="22" t="s">
        <v>27</v>
      </c>
      <c r="D169">
        <v>0.76658723733996204</v>
      </c>
    </row>
    <row r="170" spans="1:4" x14ac:dyDescent="0.2">
      <c r="A170" s="22" t="s">
        <v>28</v>
      </c>
      <c r="D170">
        <v>0.267444514269357</v>
      </c>
    </row>
    <row r="171" spans="1:4" x14ac:dyDescent="0.2">
      <c r="A171" s="22" t="s">
        <v>27</v>
      </c>
      <c r="D171">
        <v>2.6324682483906598</v>
      </c>
    </row>
    <row r="172" spans="1:4" x14ac:dyDescent="0.2">
      <c r="A172" s="22" t="s">
        <v>28</v>
      </c>
    </row>
    <row r="173" spans="1:4" x14ac:dyDescent="0.2">
      <c r="A173" s="22" t="s">
        <v>27</v>
      </c>
    </row>
    <row r="174" spans="1:4" x14ac:dyDescent="0.2">
      <c r="A174" s="22" t="s">
        <v>28</v>
      </c>
    </row>
    <row r="175" spans="1:4" x14ac:dyDescent="0.2">
      <c r="A175" s="22" t="s">
        <v>27</v>
      </c>
    </row>
    <row r="176" spans="1:4" x14ac:dyDescent="0.2">
      <c r="A176" s="22" t="s">
        <v>28</v>
      </c>
      <c r="B17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workbookViewId="0">
      <selection activeCell="B3" sqref="B3:D3"/>
    </sheetView>
  </sheetViews>
  <sheetFormatPr baseColWidth="10" defaultColWidth="8.83203125" defaultRowHeight="15" x14ac:dyDescent="0.2"/>
  <cols>
    <col min="1" max="1" width="42.6640625" bestFit="1" customWidth="1"/>
    <col min="2" max="4" width="11.6640625" bestFit="1" customWidth="1"/>
  </cols>
  <sheetData>
    <row r="1" spans="1:4" x14ac:dyDescent="0.2">
      <c r="A1" s="1" t="s">
        <v>22</v>
      </c>
      <c r="B1" s="2">
        <v>1</v>
      </c>
      <c r="C1" s="2">
        <v>2</v>
      </c>
      <c r="D1" s="2">
        <v>3</v>
      </c>
    </row>
    <row r="2" spans="1:4" x14ac:dyDescent="0.2">
      <c r="A2" s="2" t="s">
        <v>0</v>
      </c>
      <c r="B2" s="16">
        <v>8</v>
      </c>
      <c r="C2" s="16">
        <v>8</v>
      </c>
      <c r="D2" s="16">
        <v>8</v>
      </c>
    </row>
    <row r="3" spans="1:4" ht="17" x14ac:dyDescent="0.2">
      <c r="A3" s="3" t="s">
        <v>1</v>
      </c>
      <c r="B3" s="17" t="s">
        <v>29</v>
      </c>
      <c r="C3" s="17" t="s">
        <v>30</v>
      </c>
      <c r="D3" s="17" t="s">
        <v>31</v>
      </c>
    </row>
    <row r="4" spans="1:4" x14ac:dyDescent="0.2">
      <c r="A4" s="4" t="s">
        <v>2</v>
      </c>
      <c r="B4" s="18">
        <f>B12/B11</f>
        <v>240.99726952377873</v>
      </c>
      <c r="C4" s="18">
        <f t="shared" ref="C4:D4" si="0">C12/C11</f>
        <v>245.04562328651278</v>
      </c>
      <c r="D4" s="18">
        <f t="shared" si="0"/>
        <v>279.89884640506733</v>
      </c>
    </row>
    <row r="5" spans="1:4" x14ac:dyDescent="0.2">
      <c r="A5" s="5" t="s">
        <v>3</v>
      </c>
      <c r="B5" s="18">
        <f t="shared" ref="B5:D5" si="1">B16/B11</f>
        <v>10.360630278592357</v>
      </c>
      <c r="C5" s="18">
        <f t="shared" si="1"/>
        <v>10.419262722418653</v>
      </c>
      <c r="D5" s="18">
        <f t="shared" si="1"/>
        <v>7.1281539831511216</v>
      </c>
    </row>
    <row r="6" spans="1:4" x14ac:dyDescent="0.2">
      <c r="A6" s="6" t="s">
        <v>4</v>
      </c>
      <c r="B6" s="18">
        <f t="shared" ref="B6:D6" si="2">B17/B11</f>
        <v>16.667100882952923</v>
      </c>
      <c r="C6" s="18">
        <f t="shared" si="2"/>
        <v>7.3320737676279411</v>
      </c>
      <c r="D6" s="18">
        <f t="shared" si="2"/>
        <v>31.363877525864932</v>
      </c>
    </row>
    <row r="7" spans="1:4" ht="17" x14ac:dyDescent="0.2">
      <c r="A7" s="7" t="s">
        <v>5</v>
      </c>
      <c r="B7" s="18">
        <f t="shared" ref="B7:D7" si="3">B21/B11</f>
        <v>0.45046218602575466</v>
      </c>
      <c r="C7" s="18">
        <f>C21/C11</f>
        <v>0.38589861934883901</v>
      </c>
      <c r="D7" s="18">
        <f t="shared" si="3"/>
        <v>0</v>
      </c>
    </row>
    <row r="8" spans="1:4" ht="17" x14ac:dyDescent="0.2">
      <c r="A8" s="8" t="s">
        <v>6</v>
      </c>
      <c r="B8">
        <v>183.17922902494311</v>
      </c>
      <c r="C8">
        <v>193.68399999999983</v>
      </c>
      <c r="D8">
        <v>181.06099999999978</v>
      </c>
    </row>
    <row r="9" spans="1:4" ht="17" x14ac:dyDescent="0.2">
      <c r="A9" s="8" t="s">
        <v>7</v>
      </c>
      <c r="B9">
        <v>183.17922902494311</v>
      </c>
      <c r="C9">
        <v>193.40799999999984</v>
      </c>
      <c r="D9">
        <v>181.06099999999978</v>
      </c>
    </row>
    <row r="10" spans="1:4" x14ac:dyDescent="0.2">
      <c r="A10" s="9" t="s">
        <v>8</v>
      </c>
      <c r="B10">
        <f>B9-B22</f>
        <v>133.19652983384842</v>
      </c>
      <c r="C10">
        <f t="shared" ref="C10:D10" si="4">C9-C22</f>
        <v>155.48125075244718</v>
      </c>
      <c r="D10">
        <f t="shared" si="4"/>
        <v>126.25989872375622</v>
      </c>
    </row>
    <row r="11" spans="1:4" x14ac:dyDescent="0.2">
      <c r="A11" s="9" t="s">
        <v>9</v>
      </c>
      <c r="B11">
        <f>B10/60</f>
        <v>2.2199421638974735</v>
      </c>
      <c r="C11">
        <f t="shared" ref="C11:D11" si="5">C10/60</f>
        <v>2.5913541792074528</v>
      </c>
      <c r="D11">
        <f t="shared" si="5"/>
        <v>2.1043316453959369</v>
      </c>
    </row>
    <row r="12" spans="1:4" x14ac:dyDescent="0.2">
      <c r="A12" s="10" t="s">
        <v>10</v>
      </c>
      <c r="B12" s="19">
        <v>535</v>
      </c>
      <c r="C12" s="19">
        <v>635</v>
      </c>
      <c r="D12" s="20">
        <v>589</v>
      </c>
    </row>
    <row r="13" spans="1:4" x14ac:dyDescent="0.2">
      <c r="A13" s="9" t="s">
        <v>11</v>
      </c>
      <c r="B13">
        <f>COUNT(B23:B151)</f>
        <v>60</v>
      </c>
      <c r="C13">
        <f t="shared" ref="C13:D13" si="6">COUNT(C23:C151)</f>
        <v>46</v>
      </c>
      <c r="D13">
        <f t="shared" si="6"/>
        <v>81</v>
      </c>
    </row>
    <row r="14" spans="1:4" x14ac:dyDescent="0.2">
      <c r="A14" s="9" t="s">
        <v>12</v>
      </c>
      <c r="B14">
        <f>B13/B10</f>
        <v>0.45046218602575461</v>
      </c>
      <c r="C14">
        <f t="shared" ref="C14:D14" si="7">C13/C10</f>
        <v>0.29585560816744322</v>
      </c>
      <c r="D14">
        <f t="shared" si="7"/>
        <v>0.64153385848360089</v>
      </c>
    </row>
    <row r="15" spans="1:4" x14ac:dyDescent="0.2">
      <c r="A15" s="9" t="s">
        <v>13</v>
      </c>
      <c r="B15">
        <f>AVERAGE(B23:B151)</f>
        <v>0.83304498651824477</v>
      </c>
      <c r="C15">
        <f t="shared" ref="C15:D15" si="8">AVERAGE(C23:C151)</f>
        <v>0.82449454885984086</v>
      </c>
      <c r="D15">
        <f t="shared" si="8"/>
        <v>0.67655680587955014</v>
      </c>
    </row>
    <row r="16" spans="1:4" ht="29" x14ac:dyDescent="0.2">
      <c r="A16" s="11" t="s">
        <v>14</v>
      </c>
      <c r="B16">
        <f t="shared" ref="B16:D16" si="9">B13-B17</f>
        <v>23</v>
      </c>
      <c r="C16">
        <f t="shared" si="9"/>
        <v>27</v>
      </c>
      <c r="D16">
        <f t="shared" si="9"/>
        <v>15</v>
      </c>
    </row>
    <row r="17" spans="1:4" ht="29" x14ac:dyDescent="0.2">
      <c r="A17" s="12" t="s">
        <v>15</v>
      </c>
      <c r="B17">
        <v>37</v>
      </c>
      <c r="C17">
        <v>19</v>
      </c>
      <c r="D17">
        <v>66</v>
      </c>
    </row>
    <row r="18" spans="1:4" x14ac:dyDescent="0.2">
      <c r="A18" s="13" t="s">
        <v>16</v>
      </c>
      <c r="B18" s="1">
        <v>0</v>
      </c>
      <c r="C18" s="2">
        <v>0</v>
      </c>
      <c r="D18" s="2">
        <v>0</v>
      </c>
    </row>
    <row r="19" spans="1:4" x14ac:dyDescent="0.2">
      <c r="A19" s="14" t="s">
        <v>17</v>
      </c>
      <c r="B19" s="1">
        <v>1</v>
      </c>
      <c r="C19" s="2">
        <v>0</v>
      </c>
      <c r="D19" s="2">
        <v>0</v>
      </c>
    </row>
    <row r="20" spans="1:4" x14ac:dyDescent="0.2">
      <c r="A20" s="14" t="s">
        <v>18</v>
      </c>
      <c r="B20" s="1">
        <v>0</v>
      </c>
      <c r="C20" s="2">
        <v>1</v>
      </c>
      <c r="D20" s="2">
        <v>0</v>
      </c>
    </row>
    <row r="21" spans="1:4" x14ac:dyDescent="0.2">
      <c r="A21" s="14" t="s">
        <v>19</v>
      </c>
      <c r="B21" s="1">
        <f t="shared" ref="B21:C21" si="10">SUM(B18:B20)</f>
        <v>1</v>
      </c>
      <c r="C21" s="2">
        <f t="shared" si="10"/>
        <v>1</v>
      </c>
      <c r="D21" s="2">
        <f>SUM(D18:D20)</f>
        <v>0</v>
      </c>
    </row>
    <row r="22" spans="1:4" ht="17" x14ac:dyDescent="0.2">
      <c r="A22" s="15" t="s">
        <v>20</v>
      </c>
      <c r="B22">
        <f>SUM(B23:B151)</f>
        <v>49.982699191094689</v>
      </c>
      <c r="C22">
        <f t="shared" ref="C22:D22" si="11">SUM(C23:C151)</f>
        <v>37.926749247552678</v>
      </c>
      <c r="D22">
        <f t="shared" si="11"/>
        <v>54.801101276243557</v>
      </c>
    </row>
    <row r="23" spans="1:4" x14ac:dyDescent="0.2">
      <c r="A23" t="s">
        <v>21</v>
      </c>
      <c r="B23" s="21">
        <v>0.99670011737228403</v>
      </c>
      <c r="C23" s="21">
        <v>0.80177305781608599</v>
      </c>
      <c r="D23" s="21">
        <v>0.432</v>
      </c>
    </row>
    <row r="24" spans="1:4" x14ac:dyDescent="0.2">
      <c r="A24" t="s">
        <v>21</v>
      </c>
      <c r="B24">
        <v>0.63971726353013203</v>
      </c>
      <c r="C24">
        <v>0.70555741624627899</v>
      </c>
      <c r="D24" s="21">
        <v>0.49695824112247999</v>
      </c>
    </row>
    <row r="25" spans="1:4" x14ac:dyDescent="0.2">
      <c r="A25" t="s">
        <v>21</v>
      </c>
      <c r="B25">
        <v>1.31730478451128</v>
      </c>
      <c r="C25">
        <v>1.976</v>
      </c>
      <c r="D25" s="21">
        <v>0.36349809275929901</v>
      </c>
    </row>
    <row r="26" spans="1:4" x14ac:dyDescent="0.2">
      <c r="A26" t="s">
        <v>21</v>
      </c>
      <c r="B26">
        <v>0.63539754897699996</v>
      </c>
      <c r="C26" s="21">
        <v>0.71199999999999897</v>
      </c>
      <c r="D26">
        <v>2.95441828878046</v>
      </c>
    </row>
    <row r="27" spans="1:4" x14ac:dyDescent="0.2">
      <c r="A27" t="s">
        <v>21</v>
      </c>
      <c r="B27" s="21">
        <v>0.61009700957511004</v>
      </c>
      <c r="C27">
        <v>1.76799999999999</v>
      </c>
      <c r="D27" s="21">
        <v>0.26399999999999901</v>
      </c>
    </row>
    <row r="28" spans="1:4" x14ac:dyDescent="0.2">
      <c r="A28" t="s">
        <v>21</v>
      </c>
      <c r="B28" s="21">
        <v>1.1732390592825499</v>
      </c>
      <c r="C28" s="21">
        <v>0.51945319614053498</v>
      </c>
      <c r="D28" s="21">
        <v>0.38479833282276299</v>
      </c>
    </row>
    <row r="29" spans="1:4" x14ac:dyDescent="0.2">
      <c r="A29" t="s">
        <v>21</v>
      </c>
      <c r="B29" s="21">
        <v>1.12245330740166</v>
      </c>
      <c r="C29">
        <v>0.36800000000000199</v>
      </c>
      <c r="D29" s="21">
        <v>0.28799999999999798</v>
      </c>
    </row>
    <row r="30" spans="1:4" x14ac:dyDescent="0.2">
      <c r="A30" t="s">
        <v>21</v>
      </c>
      <c r="B30" s="21">
        <v>0.83962668429672505</v>
      </c>
      <c r="C30">
        <v>0.95199999999999796</v>
      </c>
      <c r="D30" s="21">
        <v>0.526961459562867</v>
      </c>
    </row>
    <row r="31" spans="1:4" x14ac:dyDescent="0.2">
      <c r="A31" t="s">
        <v>21</v>
      </c>
      <c r="B31" s="21">
        <v>0.480715942066961</v>
      </c>
      <c r="C31" s="21">
        <v>0.25063588599594</v>
      </c>
      <c r="D31" s="21">
        <v>0.41262867915843698</v>
      </c>
    </row>
    <row r="32" spans="1:4" x14ac:dyDescent="0.2">
      <c r="A32" t="s">
        <v>21</v>
      </c>
      <c r="B32" s="21">
        <v>0.376000000000001</v>
      </c>
      <c r="C32">
        <v>0.59684631499543095</v>
      </c>
      <c r="D32" s="21">
        <v>0.89929952801240898</v>
      </c>
    </row>
    <row r="33" spans="1:4" x14ac:dyDescent="0.2">
      <c r="A33" t="s">
        <v>21</v>
      </c>
      <c r="B33">
        <v>1.42186434183573</v>
      </c>
      <c r="C33">
        <v>0.82581648450002298</v>
      </c>
      <c r="D33" s="21">
        <v>0.60182258941212996</v>
      </c>
    </row>
    <row r="34" spans="1:4" x14ac:dyDescent="0.2">
      <c r="A34" t="s">
        <v>21</v>
      </c>
      <c r="B34" s="21">
        <v>0.67999999999999905</v>
      </c>
      <c r="C34" s="21">
        <v>0.35283391227163402</v>
      </c>
      <c r="D34">
        <v>0.51607931930477202</v>
      </c>
    </row>
    <row r="35" spans="1:4" x14ac:dyDescent="0.2">
      <c r="A35" t="s">
        <v>21</v>
      </c>
      <c r="B35" s="21">
        <v>1.22399999999999</v>
      </c>
      <c r="C35">
        <v>1.1679999999999899</v>
      </c>
      <c r="D35" s="21">
        <v>0.59166755744852395</v>
      </c>
    </row>
    <row r="36" spans="1:4" x14ac:dyDescent="0.2">
      <c r="A36" t="s">
        <v>21</v>
      </c>
      <c r="B36">
        <v>0.66586137130557399</v>
      </c>
      <c r="C36" s="21">
        <v>1.17206576023944</v>
      </c>
      <c r="D36" s="21">
        <v>0.49089369793035997</v>
      </c>
    </row>
    <row r="37" spans="1:4" x14ac:dyDescent="0.2">
      <c r="A37" t="s">
        <v>21</v>
      </c>
      <c r="B37" s="21">
        <v>0.63199999999999701</v>
      </c>
      <c r="C37">
        <v>1.1439999999999999</v>
      </c>
      <c r="D37" s="21">
        <v>0.30107844089108499</v>
      </c>
    </row>
    <row r="38" spans="1:4" x14ac:dyDescent="0.2">
      <c r="A38" t="s">
        <v>21</v>
      </c>
      <c r="B38" s="21">
        <v>0.64</v>
      </c>
      <c r="C38" s="21">
        <v>0.272735618519519</v>
      </c>
      <c r="D38" s="21">
        <v>0.48923679200027598</v>
      </c>
    </row>
    <row r="39" spans="1:4" x14ac:dyDescent="0.2">
      <c r="A39" t="s">
        <v>21</v>
      </c>
      <c r="B39">
        <v>2.80639992859843</v>
      </c>
      <c r="C39" s="21">
        <v>0.32888211987315602</v>
      </c>
      <c r="D39" s="21">
        <v>0.79947673165581501</v>
      </c>
    </row>
    <row r="40" spans="1:4" x14ac:dyDescent="0.2">
      <c r="A40" t="s">
        <v>21</v>
      </c>
      <c r="B40" s="21">
        <v>0.26396730505823002</v>
      </c>
      <c r="C40">
        <v>1.0252471449576099</v>
      </c>
      <c r="D40" s="21">
        <v>0.26347431866405902</v>
      </c>
    </row>
    <row r="41" spans="1:4" x14ac:dyDescent="0.2">
      <c r="A41" t="s">
        <v>21</v>
      </c>
      <c r="B41" s="21">
        <v>0.39383956699461398</v>
      </c>
      <c r="C41">
        <v>1.43999999999999</v>
      </c>
      <c r="D41">
        <v>0.62658429057392695</v>
      </c>
    </row>
    <row r="42" spans="1:4" x14ac:dyDescent="0.2">
      <c r="A42" t="s">
        <v>21</v>
      </c>
      <c r="B42" s="21">
        <v>0.24680699147580001</v>
      </c>
      <c r="C42">
        <v>1.2673461859167701</v>
      </c>
      <c r="D42" s="21">
        <v>0.40555536459292701</v>
      </c>
    </row>
    <row r="43" spans="1:4" x14ac:dyDescent="0.2">
      <c r="A43" t="s">
        <v>21</v>
      </c>
      <c r="B43">
        <v>0.90554834511509297</v>
      </c>
      <c r="C43" s="21">
        <v>0.53915653216112902</v>
      </c>
      <c r="D43" s="21">
        <v>0.47243503379264901</v>
      </c>
    </row>
    <row r="44" spans="1:4" x14ac:dyDescent="0.2">
      <c r="A44" t="s">
        <v>21</v>
      </c>
      <c r="B44" s="21">
        <v>0.53600000000000103</v>
      </c>
      <c r="C44">
        <v>0.85415004351634105</v>
      </c>
      <c r="D44" s="21">
        <v>0.27508648531497898</v>
      </c>
    </row>
    <row r="45" spans="1:4" x14ac:dyDescent="0.2">
      <c r="A45" t="s">
        <v>21</v>
      </c>
      <c r="B45" s="21">
        <v>0.26835146966790502</v>
      </c>
      <c r="C45">
        <v>0.92997747291521105</v>
      </c>
      <c r="D45">
        <v>0.37696941058918998</v>
      </c>
    </row>
    <row r="46" spans="1:4" x14ac:dyDescent="0.2">
      <c r="A46" t="s">
        <v>21</v>
      </c>
      <c r="B46">
        <v>2.2320142779033301</v>
      </c>
      <c r="C46">
        <v>0.47795824971522899</v>
      </c>
      <c r="D46">
        <v>1.6752253832058499</v>
      </c>
    </row>
    <row r="47" spans="1:4" x14ac:dyDescent="0.2">
      <c r="A47" t="s">
        <v>21</v>
      </c>
      <c r="B47">
        <v>2.0825886438880499</v>
      </c>
      <c r="C47">
        <v>0.65176124961166604</v>
      </c>
      <c r="D47" s="21">
        <v>0.303999999999994</v>
      </c>
    </row>
    <row r="48" spans="1:4" x14ac:dyDescent="0.2">
      <c r="A48" t="s">
        <v>21</v>
      </c>
      <c r="B48" s="21">
        <v>0.46734297416516302</v>
      </c>
      <c r="C48">
        <v>1.8276314048512701</v>
      </c>
      <c r="D48">
        <v>0.25100193344536498</v>
      </c>
    </row>
    <row r="49" spans="1:4" x14ac:dyDescent="0.2">
      <c r="A49" t="s">
        <v>21</v>
      </c>
      <c r="B49" s="21">
        <v>0.70471785325298697</v>
      </c>
      <c r="C49">
        <v>0.69599999999999795</v>
      </c>
      <c r="D49">
        <v>3.01066110348936</v>
      </c>
    </row>
    <row r="50" spans="1:4" x14ac:dyDescent="0.2">
      <c r="A50" t="s">
        <v>21</v>
      </c>
      <c r="B50" s="21">
        <v>0.26426196580915401</v>
      </c>
      <c r="C50">
        <v>1.3501365141335999</v>
      </c>
      <c r="D50" s="21">
        <v>1.08182867777819</v>
      </c>
    </row>
    <row r="51" spans="1:4" x14ac:dyDescent="0.2">
      <c r="A51" t="s">
        <v>21</v>
      </c>
      <c r="B51" s="21">
        <v>0.94083448190673302</v>
      </c>
      <c r="C51" s="21">
        <v>0.32862519166482601</v>
      </c>
      <c r="D51" s="21">
        <v>2.1216266927741199</v>
      </c>
    </row>
    <row r="52" spans="1:4" x14ac:dyDescent="0.2">
      <c r="A52" t="s">
        <v>21</v>
      </c>
      <c r="B52">
        <v>1.2521687793234499</v>
      </c>
      <c r="C52">
        <v>1.20799999999999</v>
      </c>
      <c r="D52" s="21">
        <v>0.31329214528696497</v>
      </c>
    </row>
    <row r="53" spans="1:4" x14ac:dyDescent="0.2">
      <c r="A53" t="s">
        <v>21</v>
      </c>
      <c r="B53">
        <v>1.0111353816605799</v>
      </c>
      <c r="C53" s="21">
        <v>0.60473195724728102</v>
      </c>
      <c r="D53">
        <v>0.79982460648430698</v>
      </c>
    </row>
    <row r="54" spans="1:4" x14ac:dyDescent="0.2">
      <c r="A54" t="s">
        <v>21</v>
      </c>
      <c r="B54">
        <v>1.1201436209817</v>
      </c>
      <c r="C54">
        <v>0.66369321749669996</v>
      </c>
      <c r="D54" s="21">
        <v>0.30055669222652098</v>
      </c>
    </row>
    <row r="55" spans="1:4" x14ac:dyDescent="0.2">
      <c r="A55" t="s">
        <v>21</v>
      </c>
      <c r="B55" s="21">
        <v>0.27485719771772199</v>
      </c>
      <c r="C55">
        <v>0.52161005386517401</v>
      </c>
      <c r="D55" s="21">
        <v>0.470235818009058</v>
      </c>
    </row>
    <row r="56" spans="1:4" x14ac:dyDescent="0.2">
      <c r="A56" t="s">
        <v>21</v>
      </c>
      <c r="B56" s="21">
        <v>0.32449252735533202</v>
      </c>
      <c r="C56" s="21">
        <v>0.77052273056796095</v>
      </c>
      <c r="D56" s="21">
        <v>0.59999999999999398</v>
      </c>
    </row>
    <row r="57" spans="1:4" x14ac:dyDescent="0.2">
      <c r="A57" t="s">
        <v>21</v>
      </c>
      <c r="B57" s="21">
        <v>0.85505184275842705</v>
      </c>
      <c r="C57" s="21">
        <v>0.242326340530468</v>
      </c>
      <c r="D57" s="21">
        <v>0.40800000000000097</v>
      </c>
    </row>
    <row r="58" spans="1:4" x14ac:dyDescent="0.2">
      <c r="A58" t="s">
        <v>21</v>
      </c>
      <c r="B58" s="21">
        <v>0.66400000000000103</v>
      </c>
      <c r="C58">
        <v>1.56486609137738</v>
      </c>
      <c r="D58">
        <v>0.62186718788885198</v>
      </c>
    </row>
    <row r="59" spans="1:4" x14ac:dyDescent="0.2">
      <c r="A59" t="s">
        <v>21</v>
      </c>
      <c r="B59" s="21">
        <v>0.28801872333926298</v>
      </c>
      <c r="C59">
        <v>0.28682068683400502</v>
      </c>
      <c r="D59" s="21">
        <v>0.63764398811781497</v>
      </c>
    </row>
    <row r="60" spans="1:4" x14ac:dyDescent="0.2">
      <c r="A60" t="s">
        <v>21</v>
      </c>
      <c r="B60">
        <v>1.7070423307225</v>
      </c>
      <c r="C60" s="21">
        <v>0.53387776113089502</v>
      </c>
      <c r="D60" s="21">
        <v>0.257768508763348</v>
      </c>
    </row>
    <row r="61" spans="1:4" x14ac:dyDescent="0.2">
      <c r="A61" t="s">
        <v>21</v>
      </c>
      <c r="B61">
        <v>1.1359999999999899</v>
      </c>
      <c r="C61">
        <v>0.99717161921091702</v>
      </c>
      <c r="D61" s="21">
        <v>0.60818841574868499</v>
      </c>
    </row>
    <row r="62" spans="1:4" x14ac:dyDescent="0.2">
      <c r="A62" t="s">
        <v>21</v>
      </c>
      <c r="B62">
        <v>1.09026211561703</v>
      </c>
      <c r="C62" s="21">
        <v>0.28071420444399497</v>
      </c>
      <c r="D62">
        <v>0.94109418417191604</v>
      </c>
    </row>
    <row r="63" spans="1:4" x14ac:dyDescent="0.2">
      <c r="A63" t="s">
        <v>21</v>
      </c>
      <c r="B63">
        <v>1.07400750991376</v>
      </c>
      <c r="C63">
        <v>1.0125038993265301</v>
      </c>
      <c r="D63" s="21">
        <v>0.34131014201994903</v>
      </c>
    </row>
    <row r="64" spans="1:4" x14ac:dyDescent="0.2">
      <c r="A64" t="s">
        <v>21</v>
      </c>
      <c r="B64" s="21">
        <v>0.26400000000001</v>
      </c>
      <c r="C64" s="21">
        <v>0.77079782889555304</v>
      </c>
      <c r="D64" s="21">
        <v>0.44763740530690599</v>
      </c>
    </row>
    <row r="65" spans="1:4" x14ac:dyDescent="0.2">
      <c r="A65" t="s">
        <v>21</v>
      </c>
      <c r="B65">
        <v>0.81600000000000195</v>
      </c>
      <c r="C65">
        <v>0.85475359950041196</v>
      </c>
      <c r="D65" s="21">
        <v>0.259803242433093</v>
      </c>
    </row>
    <row r="66" spans="1:4" x14ac:dyDescent="0.2">
      <c r="A66" t="s">
        <v>21</v>
      </c>
      <c r="B66" s="21">
        <v>0.439999999999997</v>
      </c>
      <c r="C66" s="21">
        <v>0.69738573434804596</v>
      </c>
      <c r="D66" s="21">
        <v>0.27199999999999103</v>
      </c>
    </row>
    <row r="67" spans="1:4" x14ac:dyDescent="0.2">
      <c r="A67" t="s">
        <v>21</v>
      </c>
      <c r="B67">
        <v>0.54399999999998205</v>
      </c>
      <c r="C67" s="21">
        <v>0.74811240953755398</v>
      </c>
      <c r="D67" s="21">
        <v>0.76800000000000002</v>
      </c>
    </row>
    <row r="68" spans="1:4" x14ac:dyDescent="0.2">
      <c r="A68" t="s">
        <v>21</v>
      </c>
      <c r="B68">
        <v>0.69306481572272105</v>
      </c>
      <c r="C68" s="21">
        <v>0.86627135719814397</v>
      </c>
      <c r="D68">
        <v>1.52561307575247</v>
      </c>
    </row>
    <row r="69" spans="1:4" x14ac:dyDescent="0.2">
      <c r="A69" t="s">
        <v>21</v>
      </c>
      <c r="B69" s="21">
        <v>0.76799999999997204</v>
      </c>
      <c r="D69" s="21">
        <v>0.44799999999999301</v>
      </c>
    </row>
    <row r="70" spans="1:4" x14ac:dyDescent="0.2">
      <c r="A70" t="s">
        <v>21</v>
      </c>
      <c r="B70" s="21">
        <v>0.57548304439401898</v>
      </c>
      <c r="D70" s="21">
        <v>0.54982034108765199</v>
      </c>
    </row>
    <row r="71" spans="1:4" x14ac:dyDescent="0.2">
      <c r="A71" t="s">
        <v>21</v>
      </c>
      <c r="B71">
        <v>1.8559999999999901</v>
      </c>
      <c r="D71" s="21">
        <v>0.33366887018368602</v>
      </c>
    </row>
    <row r="72" spans="1:4" x14ac:dyDescent="0.2">
      <c r="A72" t="s">
        <v>21</v>
      </c>
      <c r="B72" s="21">
        <v>0.25600000000000001</v>
      </c>
      <c r="D72" s="21">
        <v>0.57230861551727197</v>
      </c>
    </row>
    <row r="73" spans="1:4" x14ac:dyDescent="0.2">
      <c r="A73" t="s">
        <v>21</v>
      </c>
      <c r="B73" s="21">
        <v>0.50399999999999001</v>
      </c>
      <c r="D73" s="21">
        <v>0.69237456996979996</v>
      </c>
    </row>
    <row r="74" spans="1:4" x14ac:dyDescent="0.2">
      <c r="A74" t="s">
        <v>21</v>
      </c>
      <c r="B74">
        <v>0.78597360215502399</v>
      </c>
      <c r="D74" s="21">
        <v>0.29069708887990903</v>
      </c>
    </row>
    <row r="75" spans="1:4" x14ac:dyDescent="0.2">
      <c r="A75" t="s">
        <v>21</v>
      </c>
      <c r="B75">
        <v>0.76065092841116599</v>
      </c>
      <c r="C75" s="21"/>
      <c r="D75">
        <v>1.6204042809669299</v>
      </c>
    </row>
    <row r="76" spans="1:4" x14ac:dyDescent="0.2">
      <c r="A76" t="s">
        <v>21</v>
      </c>
      <c r="B76" s="21">
        <v>0.43199999999998701</v>
      </c>
      <c r="D76" s="21">
        <v>0.285222478717017</v>
      </c>
    </row>
    <row r="77" spans="1:4" x14ac:dyDescent="0.2">
      <c r="A77" t="s">
        <v>21</v>
      </c>
      <c r="B77">
        <v>2.1520000000000099</v>
      </c>
      <c r="D77" s="21">
        <v>0.37910489670470299</v>
      </c>
    </row>
    <row r="78" spans="1:4" x14ac:dyDescent="0.2">
      <c r="A78" t="s">
        <v>21</v>
      </c>
      <c r="B78" s="21">
        <v>0.57734570158805798</v>
      </c>
      <c r="D78" s="21">
        <v>0.30400000000000199</v>
      </c>
    </row>
    <row r="79" spans="1:4" x14ac:dyDescent="0.2">
      <c r="A79" t="s">
        <v>21</v>
      </c>
      <c r="B79" s="21">
        <v>0.32462095905810801</v>
      </c>
      <c r="D79" s="21">
        <v>0.41599999999999598</v>
      </c>
    </row>
    <row r="80" spans="1:4" x14ac:dyDescent="0.2">
      <c r="A80" t="s">
        <v>21</v>
      </c>
      <c r="B80" s="21">
        <v>0.583644566441336</v>
      </c>
      <c r="D80" s="21">
        <v>0.41823718404454202</v>
      </c>
    </row>
    <row r="81" spans="1:4" x14ac:dyDescent="0.2">
      <c r="A81" t="s">
        <v>21</v>
      </c>
      <c r="B81" s="21">
        <v>1.02445518472703</v>
      </c>
      <c r="D81" s="21">
        <v>0.39491623391428698</v>
      </c>
    </row>
    <row r="82" spans="1:4" x14ac:dyDescent="0.2">
      <c r="A82" t="s">
        <v>21</v>
      </c>
      <c r="B82" s="21">
        <v>0.26062912521703602</v>
      </c>
      <c r="D82" s="21">
        <v>0.81693125412091605</v>
      </c>
    </row>
    <row r="83" spans="1:4" x14ac:dyDescent="0.2">
      <c r="A83" t="s">
        <v>21</v>
      </c>
      <c r="D83" s="21">
        <v>0.45463879395485601</v>
      </c>
    </row>
    <row r="84" spans="1:4" x14ac:dyDescent="0.2">
      <c r="A84" t="s">
        <v>21</v>
      </c>
      <c r="D84" s="21">
        <v>0.357738957305826</v>
      </c>
    </row>
    <row r="85" spans="1:4" x14ac:dyDescent="0.2">
      <c r="A85" t="s">
        <v>21</v>
      </c>
      <c r="D85" s="21">
        <v>0.41014805618085798</v>
      </c>
    </row>
    <row r="86" spans="1:4" x14ac:dyDescent="0.2">
      <c r="A86" t="s">
        <v>21</v>
      </c>
      <c r="D86">
        <v>2.0670068233909502</v>
      </c>
    </row>
    <row r="87" spans="1:4" x14ac:dyDescent="0.2">
      <c r="A87" t="s">
        <v>21</v>
      </c>
      <c r="D87" s="21">
        <v>0.38764505381123998</v>
      </c>
    </row>
    <row r="88" spans="1:4" x14ac:dyDescent="0.2">
      <c r="A88" t="s">
        <v>21</v>
      </c>
      <c r="D88" s="21">
        <v>0.43104754213524599</v>
      </c>
    </row>
    <row r="89" spans="1:4" x14ac:dyDescent="0.2">
      <c r="A89" t="s">
        <v>21</v>
      </c>
      <c r="D89" s="21">
        <v>0.50863814291818699</v>
      </c>
    </row>
    <row r="90" spans="1:4" x14ac:dyDescent="0.2">
      <c r="A90" t="s">
        <v>21</v>
      </c>
      <c r="D90" s="21">
        <v>0.60883369398919696</v>
      </c>
    </row>
    <row r="91" spans="1:4" x14ac:dyDescent="0.2">
      <c r="A91" t="s">
        <v>21</v>
      </c>
      <c r="D91" s="21">
        <v>0.38475904407607597</v>
      </c>
    </row>
    <row r="92" spans="1:4" x14ac:dyDescent="0.2">
      <c r="A92" t="s">
        <v>21</v>
      </c>
      <c r="D92" s="21">
        <v>0.81076502620285795</v>
      </c>
    </row>
    <row r="93" spans="1:4" x14ac:dyDescent="0.2">
      <c r="A93" t="s">
        <v>21</v>
      </c>
      <c r="D93" s="21">
        <v>0.59999999999999398</v>
      </c>
    </row>
    <row r="94" spans="1:4" x14ac:dyDescent="0.2">
      <c r="A94" t="s">
        <v>21</v>
      </c>
      <c r="D94" s="21">
        <v>0.33876305140785201</v>
      </c>
    </row>
    <row r="95" spans="1:4" x14ac:dyDescent="0.2">
      <c r="A95" t="s">
        <v>21</v>
      </c>
      <c r="D95" s="21">
        <v>0.39199999999999502</v>
      </c>
    </row>
    <row r="96" spans="1:4" x14ac:dyDescent="0.2">
      <c r="A96" t="s">
        <v>21</v>
      </c>
      <c r="D96">
        <v>2.0270273875276499</v>
      </c>
    </row>
    <row r="97" spans="1:4" x14ac:dyDescent="0.2">
      <c r="A97" t="s">
        <v>21</v>
      </c>
      <c r="D97">
        <v>1.18709188549485</v>
      </c>
    </row>
    <row r="98" spans="1:4" x14ac:dyDescent="0.2">
      <c r="A98" t="s">
        <v>21</v>
      </c>
      <c r="D98" s="21">
        <v>0.58321303664220603</v>
      </c>
    </row>
    <row r="99" spans="1:4" x14ac:dyDescent="0.2">
      <c r="A99" t="s">
        <v>21</v>
      </c>
      <c r="D99">
        <v>2.4204485287490001</v>
      </c>
    </row>
    <row r="100" spans="1:4" x14ac:dyDescent="0.2">
      <c r="A100" t="s">
        <v>21</v>
      </c>
      <c r="D100" s="21">
        <v>0.64813509532359603</v>
      </c>
    </row>
    <row r="101" spans="1:4" x14ac:dyDescent="0.2">
      <c r="A101" t="s">
        <v>21</v>
      </c>
      <c r="D101" s="21">
        <v>0.81276015499443499</v>
      </c>
    </row>
    <row r="102" spans="1:4" x14ac:dyDescent="0.2">
      <c r="A102" t="s">
        <v>21</v>
      </c>
      <c r="D102" s="21">
        <v>0.33120881647044997</v>
      </c>
    </row>
    <row r="103" spans="1:4" x14ac:dyDescent="0.2">
      <c r="A103" t="s">
        <v>21</v>
      </c>
      <c r="D103" s="21">
        <v>0.267444514269357</v>
      </c>
    </row>
    <row r="104" spans="1:4" x14ac:dyDescent="0.2">
      <c r="A104" t="s">
        <v>21</v>
      </c>
    </row>
    <row r="105" spans="1:4" x14ac:dyDescent="0.2">
      <c r="A105" t="s">
        <v>21</v>
      </c>
    </row>
    <row r="106" spans="1:4" x14ac:dyDescent="0.2">
      <c r="A10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Durations</vt:lpstr>
      <vt:lpstr>Fluency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Hougham</dc:creator>
  <cp:lastModifiedBy>HOLLIS Christopher J.</cp:lastModifiedBy>
  <dcterms:created xsi:type="dcterms:W3CDTF">2015-06-05T18:17:20Z</dcterms:created>
  <dcterms:modified xsi:type="dcterms:W3CDTF">2026-06-19T04:41:15Z</dcterms:modified>
</cp:coreProperties>
</file>